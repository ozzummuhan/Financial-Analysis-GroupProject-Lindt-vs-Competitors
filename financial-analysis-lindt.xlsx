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 size ratio" sheetId="1" r:id="rId4"/>
    <sheet state="visible" name="liquidity ratio" sheetId="2" r:id="rId5"/>
    <sheet state="visible" name="profitability ratios" sheetId="3" r:id="rId6"/>
    <sheet state="visible" name="debt ratios" sheetId="4" r:id="rId7"/>
    <sheet state="visible" name="efficiency ratios" sheetId="5" r:id="rId8"/>
    <sheet state="visible" name="operating performance ratio" sheetId="6" r:id="rId9"/>
  </sheets>
  <definedNames/>
  <calcPr/>
  <extLst>
    <ext uri="GoogleSheetsCustomDataVersion2">
      <go:sheetsCustomData xmlns:go="http://customooxmlschemas.google.com/" r:id="rId10" roundtripDataChecksum="IZsXBXh1FbyNvsV1MSF//pbHRphb3/VUVD3UFTOZkiQ="/>
    </ext>
  </extLst>
</workbook>
</file>

<file path=xl/sharedStrings.xml><?xml version="1.0" encoding="utf-8"?>
<sst xmlns="http://schemas.openxmlformats.org/spreadsheetml/2006/main" count="806" uniqueCount="581">
  <si>
    <t>Averages</t>
  </si>
  <si>
    <t>COMMON SIZE RATIOS</t>
  </si>
  <si>
    <t>Common size ratio</t>
  </si>
  <si>
    <t>Total Assets Ratio</t>
  </si>
  <si>
    <t>Revenues from sales and services</t>
  </si>
  <si>
    <t>8,946,221</t>
  </si>
  <si>
    <t>6,432,758</t>
  </si>
  <si>
    <t>5,769,530</t>
  </si>
  <si>
    <t>average for 2022 and 2023</t>
  </si>
  <si>
    <t>Total Liabilities Ratio</t>
  </si>
  <si>
    <t>Raw,consum.mat.and good for resale</t>
  </si>
  <si>
    <t>net income</t>
  </si>
  <si>
    <t>Equity Ratio</t>
  </si>
  <si>
    <t>YEARS</t>
  </si>
  <si>
    <t>12/31/2023</t>
  </si>
  <si>
    <t>12/31/2022</t>
  </si>
  <si>
    <t>12/31/2021</t>
  </si>
  <si>
    <t>12/31/2020</t>
  </si>
  <si>
    <t>12/31/2019</t>
  </si>
  <si>
    <t>12/31/2018</t>
  </si>
  <si>
    <t>12/31/2017</t>
  </si>
  <si>
    <t>12/31/2016</t>
  </si>
  <si>
    <t>12/31/2015</t>
  </si>
  <si>
    <t>12/31/2014</t>
  </si>
  <si>
    <t>GROWTH RATE</t>
  </si>
  <si>
    <t>AVERAGE</t>
  </si>
  <si>
    <t>Change inventories</t>
  </si>
  <si>
    <t>gross profit</t>
  </si>
  <si>
    <t>Gross Profit</t>
  </si>
  <si>
    <t>EUR</t>
  </si>
  <si>
    <t>Gross profit</t>
  </si>
  <si>
    <t>8,875,967</t>
  </si>
  <si>
    <t>5,927,878</t>
  </si>
  <si>
    <t>5,347,768</t>
  </si>
  <si>
    <t>Operating Expense</t>
  </si>
  <si>
    <t>BALANCE SHEET</t>
  </si>
  <si>
    <t>Operating margin</t>
  </si>
  <si>
    <t>1,539,018</t>
  </si>
  <si>
    <t>Net income</t>
  </si>
  <si>
    <t>operating expense</t>
  </si>
  <si>
    <t>4,223,689</t>
  </si>
  <si>
    <t>4,115,864</t>
  </si>
  <si>
    <t>3,566,162</t>
  </si>
  <si>
    <t>Services</t>
  </si>
  <si>
    <t>1,699,027</t>
  </si>
  <si>
    <t>1,725,538</t>
  </si>
  <si>
    <t>1,377,033</t>
  </si>
  <si>
    <t xml:space="preserve">VENCHI </t>
  </si>
  <si>
    <t>ASSETS (to total assets)</t>
  </si>
  <si>
    <t>Use of third parties asset</t>
  </si>
  <si>
    <t>TOTAL FIXED ASSETS</t>
  </si>
  <si>
    <t>37.86%</t>
  </si>
  <si>
    <t>39.04%</t>
  </si>
  <si>
    <t>51.02%</t>
  </si>
  <si>
    <t>53.93%</t>
  </si>
  <si>
    <t>45.31%</t>
  </si>
  <si>
    <t>42.43%</t>
  </si>
  <si>
    <t>40.79%</t>
  </si>
  <si>
    <t>40.25%</t>
  </si>
  <si>
    <t>37.29%</t>
  </si>
  <si>
    <t>37.50%</t>
  </si>
  <si>
    <t>0.96%</t>
  </si>
  <si>
    <t>Total personnel expense</t>
  </si>
  <si>
    <t>1,580,479</t>
  </si>
  <si>
    <t>1,516,952</t>
  </si>
  <si>
    <t>1,347,092</t>
  </si>
  <si>
    <t>TOTAL INTANGIBLE FIXED ASSETS</t>
  </si>
  <si>
    <t>2.42%</t>
  </si>
  <si>
    <t>2.98%</t>
  </si>
  <si>
    <t>1.24%</t>
  </si>
  <si>
    <t>1.31%</t>
  </si>
  <si>
    <t>1.62%</t>
  </si>
  <si>
    <t>1.61%</t>
  </si>
  <si>
    <t>1.29%</t>
  </si>
  <si>
    <t>1.10%</t>
  </si>
  <si>
    <t>1.09%</t>
  </si>
  <si>
    <t>1.07%</t>
  </si>
  <si>
    <t>125.49%</t>
  </si>
  <si>
    <t>Total depreciation,amortization and writedowns</t>
  </si>
  <si>
    <t>TOTAL TANGIBLE FIXED ASSETS</t>
  </si>
  <si>
    <t>35.44%</t>
  </si>
  <si>
    <t>36.06%</t>
  </si>
  <si>
    <t>35.25%</t>
  </si>
  <si>
    <t>35.85%</t>
  </si>
  <si>
    <t>35.55%</t>
  </si>
  <si>
    <t>31.66%</t>
  </si>
  <si>
    <t>29.12%</t>
  </si>
  <si>
    <t>28.09%</t>
  </si>
  <si>
    <t>30.75%</t>
  </si>
  <si>
    <t>29.96%</t>
  </si>
  <si>
    <t>18.29%</t>
  </si>
  <si>
    <t>Other operating expense</t>
  </si>
  <si>
    <t>TOTAL FINANCIAL FIXED ASSETS</t>
  </si>
  <si>
    <t>0.00%</t>
  </si>
  <si>
    <t>14.53%</t>
  </si>
  <si>
    <t>16.78%</t>
  </si>
  <si>
    <t>8.14%</t>
  </si>
  <si>
    <t>9.16%</t>
  </si>
  <si>
    <t>10.38%</t>
  </si>
  <si>
    <t>11.06%</t>
  </si>
  <si>
    <t>5.45%</t>
  </si>
  <si>
    <t>6.47%</t>
  </si>
  <si>
    <t>-99.99%</t>
  </si>
  <si>
    <t>Non operating revenues/expenses</t>
  </si>
  <si>
    <t>0.33%</t>
  </si>
  <si>
    <t>-0.01%</t>
  </si>
  <si>
    <t>TOTAL CURRENT ASSETS</t>
  </si>
  <si>
    <t>61.92%</t>
  </si>
  <si>
    <t>60.87%</t>
  </si>
  <si>
    <t>48.94%</t>
  </si>
  <si>
    <t>46.03%</t>
  </si>
  <si>
    <t>54.63%</t>
  </si>
  <si>
    <t>57.48%</t>
  </si>
  <si>
    <t>59.14%</t>
  </si>
  <si>
    <t>59.69%</t>
  </si>
  <si>
    <t>62.66%</t>
  </si>
  <si>
    <t>62.40%</t>
  </si>
  <si>
    <t>-0.78%</t>
  </si>
  <si>
    <t>Total financial incomes and charges</t>
  </si>
  <si>
    <t>TOTAL INVENTORIES</t>
  </si>
  <si>
    <t>18.76%</t>
  </si>
  <si>
    <t>17.76%</t>
  </si>
  <si>
    <t>12.19%</t>
  </si>
  <si>
    <t>11.72%</t>
  </si>
  <si>
    <t>11.82%</t>
  </si>
  <si>
    <t>13.52%</t>
  </si>
  <si>
    <t>13.90%</t>
  </si>
  <si>
    <t>14.71%</t>
  </si>
  <si>
    <t>16.02%</t>
  </si>
  <si>
    <t>13.75%</t>
  </si>
  <si>
    <t>36.40%</t>
  </si>
  <si>
    <t>Total financial asset adjustment</t>
  </si>
  <si>
    <t>TOTAL RECEIVABLES</t>
  </si>
  <si>
    <t>42.20%</t>
  </si>
  <si>
    <t>42.08%</t>
  </si>
  <si>
    <t>36.01%</t>
  </si>
  <si>
    <t>33.10%</t>
  </si>
  <si>
    <t>43.88%</t>
  </si>
  <si>
    <t>45.15%</t>
  </si>
  <si>
    <t>44.86%</t>
  </si>
  <si>
    <t>46.62%</t>
  </si>
  <si>
    <t>48.56%</t>
  </si>
  <si>
    <t>-13.11%</t>
  </si>
  <si>
    <t>Total extraordinary revenues and charges</t>
  </si>
  <si>
    <t>TOTAL FINANCIAL ASSETS (INVESTEMENTS)</t>
  </si>
  <si>
    <t>0.51%</t>
  </si>
  <si>
    <t>0.04%</t>
  </si>
  <si>
    <t>0.73%</t>
  </si>
  <si>
    <t>0.30%</t>
  </si>
  <si>
    <t>0.75%</t>
  </si>
  <si>
    <t>0.07%</t>
  </si>
  <si>
    <t>0.12%</t>
  </si>
  <si>
    <t>Profit/Loss before taxation</t>
  </si>
  <si>
    <t>1,568,907</t>
  </si>
  <si>
    <t>TOTAL LIQUID FUNDS</t>
  </si>
  <si>
    <t>0.45%</t>
  </si>
  <si>
    <t>0.98%</t>
  </si>
  <si>
    <t>0.01%</t>
  </si>
  <si>
    <t>0.91%</t>
  </si>
  <si>
    <t>1.27%</t>
  </si>
  <si>
    <t>0.02%</t>
  </si>
  <si>
    <t>0.09%</t>
  </si>
  <si>
    <t>396.63%</t>
  </si>
  <si>
    <t>Total current,deferred and prepaid income taxes</t>
  </si>
  <si>
    <t>TOTAL ACCRUED INCOME AND PREPAID EXPENSES</t>
  </si>
  <si>
    <t>0.22%</t>
  </si>
  <si>
    <t>0.10%</t>
  </si>
  <si>
    <t>0.03%</t>
  </si>
  <si>
    <t>0.06%</t>
  </si>
  <si>
    <t>138.92%</t>
  </si>
  <si>
    <t>1,117,204</t>
  </si>
  <si>
    <t>TOTAL ASSETS</t>
  </si>
  <si>
    <t>102.95%</t>
  </si>
  <si>
    <t>100.00%</t>
  </si>
  <si>
    <t xml:space="preserve">GUIDO GOBINO </t>
  </si>
  <si>
    <t>SHAREHOLDERS' FUNDS (to total liabilities and shareholders' funds)</t>
  </si>
  <si>
    <t>TOTAL SHAREHOLDER'S FUNDS</t>
  </si>
  <si>
    <t>52.84%</t>
  </si>
  <si>
    <t>48.79%</t>
  </si>
  <si>
    <t>52.55%</t>
  </si>
  <si>
    <t>50.07%</t>
  </si>
  <si>
    <t>58.57%</t>
  </si>
  <si>
    <t>55.84%</t>
  </si>
  <si>
    <t>52.24%</t>
  </si>
  <si>
    <t>49.51%</t>
  </si>
  <si>
    <t>55.06%</t>
  </si>
  <si>
    <t>52.15%</t>
  </si>
  <si>
    <t>-47.16%</t>
  </si>
  <si>
    <t>TOTAL PROVISIONS FOR RISKS AND CHARGES</t>
  </si>
  <si>
    <t>7.07%</t>
  </si>
  <si>
    <t>8.81%</t>
  </si>
  <si>
    <t>5.46%</t>
  </si>
  <si>
    <t>4.45%</t>
  </si>
  <si>
    <t>3.97%</t>
  </si>
  <si>
    <t>4.22%</t>
  </si>
  <si>
    <t>4.60%</t>
  </si>
  <si>
    <t>6.18%</t>
  </si>
  <si>
    <t>4.87%</t>
  </si>
  <si>
    <t>4.96%</t>
  </si>
  <si>
    <t>-92.93%</t>
  </si>
  <si>
    <t>LIABILITIES (to total liabilities and shareholders' funds)</t>
  </si>
  <si>
    <t>TOTAL DEBT (payables)</t>
  </si>
  <si>
    <t>37.69%</t>
  </si>
  <si>
    <t>40.21%</t>
  </si>
  <si>
    <t>39.85%</t>
  </si>
  <si>
    <t>43.93%</t>
  </si>
  <si>
    <t>35.72%</t>
  </si>
  <si>
    <t>37.99%</t>
  </si>
  <si>
    <t>41.03%</t>
  </si>
  <si>
    <t>41.87%</t>
  </si>
  <si>
    <t>37.12%</t>
  </si>
  <si>
    <t>39.59%</t>
  </si>
  <si>
    <t>-62.31%</t>
  </si>
  <si>
    <t>TOTAL LONG-TERM DEBT (payables after period)</t>
  </si>
  <si>
    <t>LINDT -----&gt; (MAIN COMPANY)</t>
  </si>
  <si>
    <t>TOTAL CURRENT DEBT (payables during period )</t>
  </si>
  <si>
    <t>PAYABLES TO SUPPLIERS</t>
  </si>
  <si>
    <t>30.84%</t>
  </si>
  <si>
    <t>28.06%</t>
  </si>
  <si>
    <t>23.39%</t>
  </si>
  <si>
    <t>23.02%</t>
  </si>
  <si>
    <t>28.88%</t>
  </si>
  <si>
    <t>26.80%</t>
  </si>
  <si>
    <t>27.36%</t>
  </si>
  <si>
    <t>26.84%</t>
  </si>
  <si>
    <t>27.51%</t>
  </si>
  <si>
    <t>26.51%</t>
  </si>
  <si>
    <t>-69.16%</t>
  </si>
  <si>
    <t>OTHER PAYABLES</t>
  </si>
  <si>
    <t>1.70%</t>
  </si>
  <si>
    <t>2.16%</t>
  </si>
  <si>
    <t>1.44%</t>
  </si>
  <si>
    <t>1.49%</t>
  </si>
  <si>
    <t>1.75%</t>
  </si>
  <si>
    <t>1.82%</t>
  </si>
  <si>
    <t>1.69%</t>
  </si>
  <si>
    <t>1.96%</t>
  </si>
  <si>
    <t>2.25%</t>
  </si>
  <si>
    <t>2.09%</t>
  </si>
  <si>
    <t>-98.30%</t>
  </si>
  <si>
    <t>TAX PAYABLE</t>
  </si>
  <si>
    <t>0.76%</t>
  </si>
  <si>
    <t>1.76%</t>
  </si>
  <si>
    <t>1.40%</t>
  </si>
  <si>
    <t>0.48%</t>
  </si>
  <si>
    <t>0.89%</t>
  </si>
  <si>
    <t>1.30%</t>
  </si>
  <si>
    <t>1.13%</t>
  </si>
  <si>
    <t>0.57%</t>
  </si>
  <si>
    <t>-99.24%</t>
  </si>
  <si>
    <t>TOTAL LIABILITIES AND SHAREHOLDERS' FUNDS</t>
  </si>
  <si>
    <t>INCOME STATEMENT</t>
  </si>
  <si>
    <t>REVENUES AND EXPENSES</t>
  </si>
  <si>
    <t>TOTAL REVENUES (value of production)</t>
  </si>
  <si>
    <t>103.19%</t>
  </si>
  <si>
    <t>104.77%</t>
  </si>
  <si>
    <t>103.69%</t>
  </si>
  <si>
    <t>102.51%</t>
  </si>
  <si>
    <t>101.61%</t>
  </si>
  <si>
    <t>102.07%</t>
  </si>
  <si>
    <t>101.54%</t>
  </si>
  <si>
    <t>102.64%</t>
  </si>
  <si>
    <t>105.21%</t>
  </si>
  <si>
    <t>102.49%</t>
  </si>
  <si>
    <t>3.19%</t>
  </si>
  <si>
    <t>SALES REVENUES</t>
  </si>
  <si>
    <t>TOTAL COST 0F PRODUCTION</t>
  </si>
  <si>
    <t>98.12%</t>
  </si>
  <si>
    <t>100.45%</t>
  </si>
  <si>
    <t>97.33%</t>
  </si>
  <si>
    <t>102.25%</t>
  </si>
  <si>
    <t>95.89%</t>
  </si>
  <si>
    <t>95.51%</t>
  </si>
  <si>
    <t>94.36%</t>
  </si>
  <si>
    <t>96.25%</t>
  </si>
  <si>
    <t>100.26%</t>
  </si>
  <si>
    <t>99.06%</t>
  </si>
  <si>
    <t>-1.88%</t>
  </si>
  <si>
    <t>GOG(s)S</t>
  </si>
  <si>
    <t>53.42%</t>
  </si>
  <si>
    <t>54.09%</t>
  </si>
  <si>
    <t>54.07%</t>
  </si>
  <si>
    <t>55.56%</t>
  </si>
  <si>
    <t>51.13%</t>
  </si>
  <si>
    <t>50.12%</t>
  </si>
  <si>
    <t>50.51%</t>
  </si>
  <si>
    <t>50.21%</t>
  </si>
  <si>
    <t>52.61%</t>
  </si>
  <si>
    <t>50.29%</t>
  </si>
  <si>
    <t>-46.58%</t>
  </si>
  <si>
    <t>OPERATING MARGIN</t>
  </si>
  <si>
    <t>5.07%</t>
  </si>
  <si>
    <t>4.32%</t>
  </si>
  <si>
    <t>6.36%</t>
  </si>
  <si>
    <t>0.26%</t>
  </si>
  <si>
    <t>5.72%</t>
  </si>
  <si>
    <t>6.56%</t>
  </si>
  <si>
    <t>7.18%</t>
  </si>
  <si>
    <t>6.39%</t>
  </si>
  <si>
    <t>4.95%</t>
  </si>
  <si>
    <t>3.43%</t>
  </si>
  <si>
    <t>-94.93%</t>
  </si>
  <si>
    <t>GROSS PROFIT</t>
  </si>
  <si>
    <t>47.84%</t>
  </si>
  <si>
    <t>48.13%</t>
  </si>
  <si>
    <t>46.48%</t>
  </si>
  <si>
    <t>45.04%</t>
  </si>
  <si>
    <t>48.29%</t>
  </si>
  <si>
    <t>49.86%</t>
  </si>
  <si>
    <t>49.15%</t>
  </si>
  <si>
    <t>50.48%</t>
  </si>
  <si>
    <t>49.71%</t>
  </si>
  <si>
    <t>50.43%</t>
  </si>
  <si>
    <t>-52.16%</t>
  </si>
  <si>
    <t>OTHER INCOME AND EXPENSE</t>
  </si>
  <si>
    <t>TOTAL FINANCIAL INCOME AND CHARGES</t>
  </si>
  <si>
    <t>-0.07%</t>
  </si>
  <si>
    <t>0.55%</t>
  </si>
  <si>
    <t>0.05%</t>
  </si>
  <si>
    <t>-0.03%</t>
  </si>
  <si>
    <t>-0.46%</t>
  </si>
  <si>
    <t>-1.10%</t>
  </si>
  <si>
    <t>0.46%</t>
  </si>
  <si>
    <t>-100.07%</t>
  </si>
  <si>
    <t>TOTAL FINANCIAL ASSETS ADJUSTEMENT</t>
  </si>
  <si>
    <t>0.43%</t>
  </si>
  <si>
    <t>-0.56%</t>
  </si>
  <si>
    <t>-0.17%</t>
  </si>
  <si>
    <t>-3.99%</t>
  </si>
  <si>
    <t>0.18%</t>
  </si>
  <si>
    <t>-0.68%</t>
  </si>
  <si>
    <t>-0.38%</t>
  </si>
  <si>
    <t>-1.50%</t>
  </si>
  <si>
    <t>-0.62%</t>
  </si>
  <si>
    <t>-14.03%</t>
  </si>
  <si>
    <t>-99.57%</t>
  </si>
  <si>
    <t>INTEREST EXPENSE</t>
  </si>
  <si>
    <t>EARNINGS BEFORE TAXATION</t>
  </si>
  <si>
    <t>5.43%</t>
  </si>
  <si>
    <t>4.09%</t>
  </si>
  <si>
    <t>6.74%</t>
  </si>
  <si>
    <t>-3.68%</t>
  </si>
  <si>
    <t>6.02%</t>
  </si>
  <si>
    <t>5.85%</t>
  </si>
  <si>
    <t>6.34%</t>
  </si>
  <si>
    <t>3.79%</t>
  </si>
  <si>
    <t>5.06%</t>
  </si>
  <si>
    <t>-9.46%</t>
  </si>
  <si>
    <t>-94.57%</t>
  </si>
  <si>
    <t>TAX EXPENSE</t>
  </si>
  <si>
    <t>1.26%</t>
  </si>
  <si>
    <t>1.85%</t>
  </si>
  <si>
    <t>0.13%</t>
  </si>
  <si>
    <t>1.90%</t>
  </si>
  <si>
    <t>1.65%</t>
  </si>
  <si>
    <t>1.77%</t>
  </si>
  <si>
    <t>1.71%</t>
  </si>
  <si>
    <t>-98.74%</t>
  </si>
  <si>
    <t>TOT. CURRENT, DEFERRED AND PREPAID INCOME TAXES</t>
  </si>
  <si>
    <t>1.74%</t>
  </si>
  <si>
    <t>-0.23%</t>
  </si>
  <si>
    <t>1.67%</t>
  </si>
  <si>
    <t>1.88%</t>
  </si>
  <si>
    <t>1.72%</t>
  </si>
  <si>
    <t>1.95%</t>
  </si>
  <si>
    <t>1.55%</t>
  </si>
  <si>
    <t>-98.69%</t>
  </si>
  <si>
    <t>NET INCOME</t>
  </si>
  <si>
    <t>4.12%</t>
  </si>
  <si>
    <t>2.47%</t>
  </si>
  <si>
    <t>5.00%</t>
  </si>
  <si>
    <t>-3.45%</t>
  </si>
  <si>
    <t>4.41%</t>
  </si>
  <si>
    <t>4.18%</t>
  </si>
  <si>
    <t>4.46%</t>
  </si>
  <si>
    <t>2.07%</t>
  </si>
  <si>
    <t>3.12%</t>
  </si>
  <si>
    <t>-11.01%</t>
  </si>
  <si>
    <t>-95.88%</t>
  </si>
  <si>
    <t>average of 2022 and 2023</t>
  </si>
  <si>
    <t xml:space="preserve">net income  </t>
  </si>
  <si>
    <t>ASSETS</t>
  </si>
  <si>
    <t>37,089,965</t>
  </si>
  <si>
    <t>33,255,768</t>
  </si>
  <si>
    <t>31,840,372</t>
  </si>
  <si>
    <t>LIABILITIES</t>
  </si>
  <si>
    <t>SHAREHOLDERS' FUNDS</t>
  </si>
  <si>
    <t>DOMORI---&gt;</t>
  </si>
  <si>
    <t>26,494,719</t>
  </si>
  <si>
    <t>27,941,009</t>
  </si>
  <si>
    <t>26,255,750</t>
  </si>
  <si>
    <t>34920147.5</t>
  </si>
  <si>
    <t>Colonna 1</t>
  </si>
  <si>
    <t>MAIN COMPANY(LINDT)</t>
  </si>
  <si>
    <t>VALUES</t>
  </si>
  <si>
    <t>Catagory</t>
  </si>
  <si>
    <t>AVERAGE ratio for COMPETITORS</t>
  </si>
  <si>
    <t>Average of 2022 and 2023</t>
  </si>
  <si>
    <t>Average</t>
  </si>
  <si>
    <t>Current ratio</t>
  </si>
  <si>
    <t>Current Ratio</t>
  </si>
  <si>
    <t>Quick ratio</t>
  </si>
  <si>
    <t>Quick Ratio</t>
  </si>
  <si>
    <t>Cash ratio</t>
  </si>
  <si>
    <t>Cash Ratio</t>
  </si>
  <si>
    <t>(GUIDO GOBINO)</t>
  </si>
  <si>
    <t>(VENCHI)</t>
  </si>
  <si>
    <t>GROWTH RATE%</t>
  </si>
  <si>
    <t>AVG</t>
  </si>
  <si>
    <t>CURRENT RATIO</t>
  </si>
  <si>
    <t>4.20%</t>
  </si>
  <si>
    <t>current ratio</t>
  </si>
  <si>
    <t>QUICK RATIO</t>
  </si>
  <si>
    <t>-6.83%</t>
  </si>
  <si>
    <t>quick ratio</t>
  </si>
  <si>
    <t>CASH RATIO</t>
  </si>
  <si>
    <t>421.59%</t>
  </si>
  <si>
    <t>cash ratio</t>
  </si>
  <si>
    <t>LINDT( MAIN COMPANY)</t>
  </si>
  <si>
    <t>(DOMORI)</t>
  </si>
  <si>
    <t>COMPETITORS</t>
  </si>
  <si>
    <t>MAIN COMAPNY</t>
  </si>
  <si>
    <t xml:space="preserve">Average </t>
  </si>
  <si>
    <t xml:space="preserve">AVERAGE </t>
  </si>
  <si>
    <t xml:space="preserve"> LINDT PROFITABILITY RATIOS</t>
  </si>
  <si>
    <t>OPERATING PROFIT MARGIN RATIO</t>
  </si>
  <si>
    <t>GROSS PROFIT MARGIN</t>
  </si>
  <si>
    <t>RETURN ON SALES(ROS)</t>
  </si>
  <si>
    <t>EFFECTIVE TAX RATE</t>
  </si>
  <si>
    <t>RETURN ON ASSETS(ROA)</t>
  </si>
  <si>
    <t>RETURN ON INVESTEMENT(ROI)</t>
  </si>
  <si>
    <t>RETURN ON EQUITY</t>
  </si>
  <si>
    <t>(ROCE) RETURN ON CAPITAL EMPLOYED</t>
  </si>
  <si>
    <t>SALES GROWTH RATIO</t>
  </si>
  <si>
    <t>Venchi Profitability Ratios</t>
  </si>
  <si>
    <t>Operating Profit Margin Ratio</t>
  </si>
  <si>
    <t>Gross Profit Margin Ratio</t>
  </si>
  <si>
    <t>Return on Sales</t>
  </si>
  <si>
    <t>Effective Tax Rate</t>
  </si>
  <si>
    <t>Return on Assets</t>
  </si>
  <si>
    <t>Return on Equity</t>
  </si>
  <si>
    <t>Return on Capital Entry</t>
  </si>
  <si>
    <t>Return On Investment</t>
  </si>
  <si>
    <t>Sales Growth Ratio</t>
  </si>
  <si>
    <t>Guido Gobino Profitability ratio</t>
  </si>
  <si>
    <t>Operating profit Margin Ratio</t>
  </si>
  <si>
    <t>Gross Profit Margin</t>
  </si>
  <si>
    <t>Return on sales</t>
  </si>
  <si>
    <t>Return on Investment</t>
  </si>
  <si>
    <t>Return on Capital Employed</t>
  </si>
  <si>
    <t>Domori Profitability Ratio</t>
  </si>
  <si>
    <t>Profitability ratios</t>
  </si>
  <si>
    <t xml:space="preserve">Operating Profit Margin </t>
  </si>
  <si>
    <t>Lindt</t>
  </si>
  <si>
    <t>Competitors</t>
  </si>
  <si>
    <t>Return on Investments</t>
  </si>
  <si>
    <t xml:space="preserve">Sales Growth </t>
  </si>
  <si>
    <t>LINDT SOLVENCY RATIOS</t>
  </si>
  <si>
    <t>DEBT-TO ASSET RATIO</t>
  </si>
  <si>
    <t>DEBT-TO-EQUITY RATIO</t>
  </si>
  <si>
    <t>INTEREST COVERAGE RATIO</t>
  </si>
  <si>
    <t>CAPITALISATION RATIO</t>
  </si>
  <si>
    <t>Guido Gobino Debt Ratios</t>
  </si>
  <si>
    <t>Debt ratio</t>
  </si>
  <si>
    <t>Debt to Equity ratio</t>
  </si>
  <si>
    <t>Capitalization ratio</t>
  </si>
  <si>
    <t>Interest coverage ratio</t>
  </si>
  <si>
    <t>Venchi Debt Ratios</t>
  </si>
  <si>
    <t>Debt to Asset Ratio</t>
  </si>
  <si>
    <t>Debt to Equity Ratio</t>
  </si>
  <si>
    <t>Capitalization Ratio</t>
  </si>
  <si>
    <t>Interest Coverage Ratio</t>
  </si>
  <si>
    <t xml:space="preserve"> Domori solvency ratio</t>
  </si>
  <si>
    <t>debt ratio</t>
  </si>
  <si>
    <t>debt to equity ratio</t>
  </si>
  <si>
    <t>interest coverage ratio</t>
  </si>
  <si>
    <t>Debt Ratios</t>
  </si>
  <si>
    <t>Debt to asset</t>
  </si>
  <si>
    <t>Debt to equity</t>
  </si>
  <si>
    <t>Capitalization</t>
  </si>
  <si>
    <t>Interest Coverage</t>
  </si>
  <si>
    <t>LINDT EFFECIENCY ACTIVITY RATIOS</t>
  </si>
  <si>
    <t>INVENTORY TURNOVER RATIO</t>
  </si>
  <si>
    <t>DAYS INVENTORY OUSTANDING</t>
  </si>
  <si>
    <t>ACCOUNTS RECEIVABLE TURNOVER RATIO</t>
  </si>
  <si>
    <t>DAYS SALES OUTSTANDING</t>
  </si>
  <si>
    <t>ACCOUNTS PAYABLE TURNOVER RATIO</t>
  </si>
  <si>
    <t>ACCOUNTS PAYABLE DAYS</t>
  </si>
  <si>
    <t>OPERATING EXPENSE RATIO</t>
  </si>
  <si>
    <t>TOTAL ASSET TURNOVER RATIO</t>
  </si>
  <si>
    <t>DOMORI EFFICIENCY RATIO</t>
  </si>
  <si>
    <t>Inventory turnover ratio</t>
  </si>
  <si>
    <t>Days in inventory</t>
  </si>
  <si>
    <t>Acc.Recievables Turnover Ratio</t>
  </si>
  <si>
    <t>Days sales outstanding (DSO)</t>
  </si>
  <si>
    <t>Guido Gobino Efficiency Ratio</t>
  </si>
  <si>
    <t>Acc.payable turnover Ratio</t>
  </si>
  <si>
    <t>Venchi Efficiency Ratios</t>
  </si>
  <si>
    <t>Accounts Receivable Turnover ratio</t>
  </si>
  <si>
    <t>Days sales outstanding</t>
  </si>
  <si>
    <t>Accounts Payable Turnover ratio</t>
  </si>
  <si>
    <t>Days Payable Outstanding</t>
  </si>
  <si>
    <t>Operating Expense ratio</t>
  </si>
  <si>
    <t>(Total) Assets Turnover ratio</t>
  </si>
  <si>
    <t>Efficiency Ratios</t>
  </si>
  <si>
    <t>lack of main companys data for 2014 couldnt add</t>
  </si>
  <si>
    <t>Inventory Turnover</t>
  </si>
  <si>
    <t>Days in Inventory</t>
  </si>
  <si>
    <t xml:space="preserve">Acc. receivable turnover </t>
  </si>
  <si>
    <t xml:space="preserve">Days sales outsanding </t>
  </si>
  <si>
    <t>LINDT</t>
  </si>
  <si>
    <t>GUIDO GOBINO</t>
  </si>
  <si>
    <t>Operating Performance Ratios</t>
  </si>
  <si>
    <t>FIXED ASSET TURNOVER RATIO</t>
  </si>
  <si>
    <t>SALES REVENUES PER EMPLOYEE($)</t>
  </si>
  <si>
    <t>$  567.513,56</t>
  </si>
  <si>
    <t>$  487.404,94</t>
  </si>
  <si>
    <t>$  645.272,46</t>
  </si>
  <si>
    <t>$  564.586,53</t>
  </si>
  <si>
    <t>$  596.442,48</t>
  </si>
  <si>
    <t>$  569.087,26</t>
  </si>
  <si>
    <t>$  560.980,51</t>
  </si>
  <si>
    <t>$  524.288,97</t>
  </si>
  <si>
    <t>$  500.997,15</t>
  </si>
  <si>
    <t>$  491.470,20</t>
  </si>
  <si>
    <t>$  550.804,41</t>
  </si>
  <si>
    <t>Fixed Asset Turnover Ratio</t>
  </si>
  <si>
    <t>NET INCOME PER EMPLOYEE</t>
  </si>
  <si>
    <t>$  23.359,82</t>
  </si>
  <si>
    <t>$  12.016,49</t>
  </si>
  <si>
    <t>$  32.265,72</t>
  </si>
  <si>
    <t>$  -19.499,88</t>
  </si>
  <si>
    <t>$  26.329,66</t>
  </si>
  <si>
    <t>$  23.779,20</t>
  </si>
  <si>
    <t>$  25.019,73</t>
  </si>
  <si>
    <t>$  10.850,18</t>
  </si>
  <si>
    <t>$  15.623,86</t>
  </si>
  <si>
    <t>$  -54.106,49</t>
  </si>
  <si>
    <t>$  9.563,83</t>
  </si>
  <si>
    <t>Sales revenues per employee</t>
  </si>
  <si>
    <t>$  285.348,47</t>
  </si>
  <si>
    <t>$  219.300,74</t>
  </si>
  <si>
    <t>$  218.473,00</t>
  </si>
  <si>
    <t>$  126.959,23</t>
  </si>
  <si>
    <t>$  127.767,33</t>
  </si>
  <si>
    <t>$  160.449,52</t>
  </si>
  <si>
    <t>$  18.751,21</t>
  </si>
  <si>
    <t>$  171.409,29</t>
  </si>
  <si>
    <t>$  157.639,97</t>
  </si>
  <si>
    <t>$  140.937,27</t>
  </si>
  <si>
    <t>$ 162.703,60</t>
  </si>
  <si>
    <t>VENCHI</t>
  </si>
  <si>
    <t>DOMORI</t>
  </si>
  <si>
    <t>Operating Income Per Employee</t>
  </si>
  <si>
    <t>fixed asset turnover ratio</t>
  </si>
  <si>
    <t>Net Income Per Employee</t>
  </si>
  <si>
    <t>sales revenues per employee</t>
  </si>
  <si>
    <t>$  259.752,15</t>
  </si>
  <si>
    <t>$  313.943,92</t>
  </si>
  <si>
    <t>$  308.891,18</t>
  </si>
  <si>
    <t>$  228.507,17</t>
  </si>
  <si>
    <t>$  259.333,88</t>
  </si>
  <si>
    <t>$  275.572,00</t>
  </si>
  <si>
    <t>$  252.822,33</t>
  </si>
  <si>
    <t>$  210.309,08</t>
  </si>
  <si>
    <t>$  188.995,24</t>
  </si>
  <si>
    <t>$  185.240,69</t>
  </si>
  <si>
    <t>Fixed Assets Turnover ratio</t>
  </si>
  <si>
    <t>OPERATING PERFORMANCE RATIOS</t>
  </si>
  <si>
    <t>SALES REVENUES PER EMPLOYEE</t>
  </si>
  <si>
    <t>$  188.745,17</t>
  </si>
  <si>
    <t>$  182.511,32</t>
  </si>
  <si>
    <t>$  177.959,89</t>
  </si>
  <si>
    <t>$  116.245,19</t>
  </si>
  <si>
    <t>$  134.833,83</t>
  </si>
  <si>
    <t>$  152.439,22</t>
  </si>
  <si>
    <t>$  99.323,82</t>
  </si>
  <si>
    <t>$  136.879,42</t>
  </si>
  <si>
    <t>$  124.669,17</t>
  </si>
  <si>
    <t>$  119.759,45</t>
  </si>
  <si>
    <t>$143,336.65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</si>
</sst>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/m/yyyy"/>
    <numFmt numFmtId="165" formatCode="[h].mm.ss"/>
    <numFmt numFmtId="166" formatCode="h.mm"/>
    <numFmt numFmtId="167" formatCode="0.000"/>
    <numFmt numFmtId="168" formatCode="0.0000"/>
    <numFmt numFmtId="169" formatCode="0.0000000"/>
    <numFmt numFmtId="170" formatCode="d/m/yy"/>
    <numFmt numFmtId="171" formatCode="[$$]#,##0.00"/>
    <numFmt numFmtId="172" formatCode="[$€-2]\ #,##0.00"/>
    <numFmt numFmtId="173" formatCode="#,##0.00;(#,##0.00)"/>
  </numFmts>
  <fonts count="33">
    <font>
      <sz val="12.0"/>
      <color theme="1"/>
      <name val="Aptos Narrow"/>
      <scheme val="minor"/>
    </font>
    <font>
      <sz val="11.0"/>
      <color rgb="FF000000"/>
      <name val="&quot;Aptos Narrow&quot;"/>
    </font>
    <font>
      <b/>
      <sz val="20.0"/>
      <color rgb="FF000000"/>
      <name val="&quot;Aptos Narrow&quot;"/>
    </font>
    <font/>
    <font>
      <sz val="18.0"/>
      <color rgb="FF000000"/>
      <name val="Calibri"/>
    </font>
    <font>
      <sz val="11.0"/>
      <color rgb="FF000000"/>
      <name val="Calibri"/>
    </font>
    <font>
      <color theme="1"/>
      <name val="Arial"/>
    </font>
    <font>
      <color theme="1"/>
      <name val="Aptos Narrow"/>
      <scheme val="minor"/>
    </font>
    <font>
      <b/>
      <sz val="18.0"/>
      <color rgb="FF000000"/>
      <name val="&quot;Aptos Narrow&quot;"/>
    </font>
    <font>
      <b/>
      <sz val="12.0"/>
      <color rgb="FF000000"/>
      <name val="&quot;Aptos Narrow&quot;"/>
    </font>
    <font>
      <sz val="12.0"/>
      <color rgb="FF000000"/>
      <name val="&quot;Aptos Narrow&quot;"/>
    </font>
    <font>
      <b/>
      <sz val="14.0"/>
      <color rgb="FF000000"/>
      <name val="&quot;Aptos Narrow&quot;"/>
    </font>
    <font>
      <sz val="11.0"/>
      <color rgb="FF000000"/>
      <name val="Arial"/>
    </font>
    <font>
      <color rgb="FF0000FF"/>
      <name val="Arial"/>
    </font>
    <font>
      <b/>
      <sz val="12.0"/>
      <color rgb="FF153D64"/>
      <name val="&quot;Aptos Narrow&quot;"/>
    </font>
    <font>
      <color rgb="FFFF0000"/>
      <name val="Arial"/>
    </font>
    <font>
      <sz val="12.0"/>
      <color rgb="FFFF0000"/>
      <name val="&quot;Aptos Narrow&quot;"/>
    </font>
    <font>
      <b/>
      <sz val="12.0"/>
      <color rgb="FF153D64"/>
      <name val="Arial"/>
    </font>
    <font>
      <color rgb="FFFF0000"/>
      <name val="Aptos Narrow"/>
      <scheme val="minor"/>
    </font>
    <font>
      <b/>
      <sz val="11.0"/>
      <color rgb="FF275317"/>
      <name val="&quot;Aptos Narrow&quot;"/>
    </font>
    <font>
      <b/>
      <sz val="11.0"/>
      <color theme="1"/>
      <name val="&quot;Aptos Narrow&quot;"/>
    </font>
    <font>
      <sz val="12.0"/>
      <color rgb="FFBE5014"/>
      <name val="&quot;Aptos Narrow&quot;"/>
    </font>
    <font>
      <b/>
      <sz val="11.0"/>
      <color rgb="FFBE5014"/>
      <name val="&quot;Aptos Narrow&quot;"/>
    </font>
    <font>
      <b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sz val="12.0"/>
      <color rgb="FF000000"/>
      <name val="Arial"/>
    </font>
    <font>
      <b/>
      <sz val="12.0"/>
      <color rgb="FF000000"/>
      <name val="Arial"/>
    </font>
    <font>
      <sz val="10.0"/>
      <color theme="1"/>
      <name val="Arial"/>
    </font>
    <font>
      <sz val="10.0"/>
      <color theme="1"/>
      <name val="Aptos Narrow"/>
      <scheme val="minor"/>
    </font>
    <font>
      <b/>
      <sz val="18.0"/>
      <color rgb="FF000000"/>
      <name val="Calibri"/>
    </font>
    <font>
      <b/>
      <sz val="14.0"/>
      <color rgb="FF000000"/>
      <name val="Arial"/>
    </font>
    <font>
      <sz val="12.0"/>
      <color rgb="FF000000"/>
      <name val="&quot;Ȫptos Narrow\&quot;&quot;"/>
    </font>
  </fonts>
  <fills count="48">
    <fill>
      <patternFill patternType="none"/>
    </fill>
    <fill>
      <patternFill patternType="lightGray"/>
    </fill>
    <fill>
      <patternFill patternType="solid">
        <fgColor rgb="FFB5E6A2"/>
        <bgColor rgb="FFB5E6A2"/>
      </patternFill>
    </fill>
    <fill>
      <patternFill patternType="solid">
        <fgColor rgb="FFA6C9EC"/>
        <bgColor rgb="FFA6C9EC"/>
      </patternFill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  <fill>
      <patternFill patternType="solid">
        <fgColor rgb="FFDAF2D0"/>
        <bgColor rgb="FFDAF2D0"/>
      </patternFill>
    </fill>
    <fill>
      <patternFill patternType="solid">
        <fgColor rgb="FFDAE9F8"/>
        <bgColor rgb="FFDAE9F8"/>
      </patternFill>
    </fill>
    <fill>
      <patternFill patternType="solid">
        <fgColor rgb="FFB2A1C7"/>
        <bgColor rgb="FFB2A1C7"/>
      </patternFill>
    </fill>
    <fill>
      <patternFill patternType="solid">
        <fgColor rgb="FFE36C09"/>
        <bgColor rgb="FFE36C09"/>
      </patternFill>
    </fill>
    <fill>
      <patternFill patternType="solid">
        <fgColor rgb="FFF7C7AC"/>
        <bgColor rgb="FFF7C7AC"/>
      </patternFill>
    </fill>
    <fill>
      <patternFill patternType="solid">
        <fgColor rgb="FFA5A5A5"/>
        <bgColor rgb="FFA5A5A5"/>
      </patternFill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rgb="FFF1A983"/>
        <bgColor rgb="FFF1A983"/>
      </patternFill>
    </fill>
    <fill>
      <patternFill patternType="solid">
        <fgColor rgb="FFFBE2D5"/>
        <bgColor rgb="FFFBE2D5"/>
      </patternFill>
    </fill>
    <fill>
      <patternFill patternType="solid">
        <fgColor rgb="FFCFE2F3"/>
        <bgColor rgb="FFCFE2F3"/>
      </patternFill>
    </fill>
    <fill>
      <patternFill patternType="solid">
        <fgColor rgb="FF8DB3E2"/>
        <bgColor rgb="FF8DB3E2"/>
      </patternFill>
    </fill>
    <fill>
      <patternFill patternType="solid">
        <fgColor rgb="FF84E291"/>
        <bgColor rgb="FF84E291"/>
      </patternFill>
    </fill>
    <fill>
      <patternFill patternType="solid">
        <fgColor rgb="FFD9F2D0"/>
        <bgColor rgb="FFD9F2D0"/>
      </patternFill>
    </fill>
    <fill>
      <patternFill patternType="solid">
        <fgColor rgb="FFBFBFBF"/>
        <bgColor rgb="FFBFBFBF"/>
      </patternFill>
    </fill>
    <fill>
      <patternFill patternType="solid">
        <fgColor rgb="FFE5B8B7"/>
        <bgColor rgb="FFE5B8B7"/>
      </patternFill>
    </fill>
    <fill>
      <patternFill patternType="solid">
        <fgColor rgb="FF94DCF8"/>
        <bgColor rgb="FF94DCF8"/>
      </patternFill>
    </fill>
    <fill>
      <patternFill patternType="solid">
        <fgColor rgb="FFF2CEEF"/>
        <bgColor rgb="FFF2CEEF"/>
      </patternFill>
    </fill>
    <fill>
      <patternFill patternType="solid">
        <fgColor rgb="FFC00000"/>
        <bgColor rgb="FFC00000"/>
      </patternFill>
    </fill>
    <fill>
      <patternFill patternType="solid">
        <fgColor rgb="FFAFF1AD"/>
        <bgColor rgb="FFAFF1AD"/>
      </patternFill>
    </fill>
    <fill>
      <patternFill patternType="solid">
        <fgColor rgb="FF595959"/>
        <bgColor rgb="FF595959"/>
      </patternFill>
    </fill>
    <fill>
      <patternFill patternType="solid">
        <fgColor rgb="FF953734"/>
        <bgColor rgb="FF953734"/>
      </patternFill>
    </fill>
    <fill>
      <patternFill patternType="solid">
        <fgColor rgb="FF548DD4"/>
        <bgColor rgb="FF548DD4"/>
      </patternFill>
    </fill>
    <fill>
      <patternFill patternType="solid">
        <fgColor rgb="FFFF0000"/>
        <bgColor rgb="FFFF0000"/>
      </patternFill>
    </fill>
    <fill>
      <patternFill patternType="solid">
        <fgColor rgb="FFE97132"/>
        <bgColor rgb="FFE97132"/>
      </patternFill>
    </fill>
    <fill>
      <patternFill patternType="solid">
        <fgColor rgb="FFC1F0C8"/>
        <bgColor rgb="FFC1F0C8"/>
      </patternFill>
    </fill>
    <fill>
      <patternFill patternType="solid">
        <fgColor rgb="FFBE5014"/>
        <bgColor rgb="FFBE5014"/>
      </patternFill>
    </fill>
    <fill>
      <patternFill patternType="solid">
        <fgColor rgb="FF782170"/>
        <bgColor rgb="FF782170"/>
      </patternFill>
    </fill>
    <fill>
      <patternFill patternType="solid">
        <fgColor rgb="FF196B24"/>
        <bgColor rgb="FF196B24"/>
      </patternFill>
    </fill>
    <fill>
      <patternFill patternType="solid">
        <fgColor rgb="FFD6ECFF"/>
        <bgColor rgb="FFD6ECFF"/>
      </patternFill>
    </fill>
    <fill>
      <patternFill patternType="solid">
        <fgColor rgb="FFF8F9FA"/>
        <bgColor rgb="FFF8F9FA"/>
      </patternFill>
    </fill>
    <fill>
      <patternFill patternType="solid">
        <fgColor rgb="FFEAF5FF"/>
        <bgColor rgb="FFEAF5FF"/>
      </patternFill>
    </fill>
    <fill>
      <patternFill patternType="solid">
        <fgColor theme="0"/>
        <bgColor theme="0"/>
      </patternFill>
    </fill>
    <fill>
      <patternFill patternType="solid">
        <fgColor rgb="FF7030A0"/>
        <bgColor rgb="FF7030A0"/>
      </patternFill>
    </fill>
    <fill>
      <patternFill patternType="solid">
        <fgColor rgb="FF92D050"/>
        <bgColor rgb="FF92D050"/>
      </patternFill>
    </fill>
    <fill>
      <patternFill patternType="solid">
        <fgColor rgb="FF83E28E"/>
        <bgColor rgb="FF83E28E"/>
      </patternFill>
    </fill>
    <fill>
      <patternFill patternType="solid">
        <fgColor rgb="FFFFE599"/>
        <bgColor rgb="FFFFE599"/>
      </patternFill>
    </fill>
    <fill>
      <patternFill patternType="solid">
        <fgColor rgb="FFFFF4CA"/>
        <bgColor rgb="FFFFF4CA"/>
      </patternFill>
    </fill>
    <fill>
      <patternFill patternType="solid">
        <fgColor rgb="FFFFF2CC"/>
        <bgColor rgb="FFFFF2CC"/>
      </patternFill>
    </fill>
    <fill>
      <patternFill patternType="solid">
        <fgColor rgb="FF83CCEB"/>
        <bgColor rgb="FF83CCEB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90">
    <border/>
    <border>
      <right style="thin">
        <color rgb="FF000000"/>
      </right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dotted">
        <color rgb="FF000000"/>
      </left>
      <right style="thin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</border>
    <border>
      <right style="dotted">
        <color rgb="FF000000"/>
      </right>
    </border>
    <border>
      <left style="dotted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right style="dotted">
        <color rgb="FF000000"/>
      </right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/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/>
      <bottom style="dotted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 style="dotted">
        <color rgb="FF000000"/>
      </left>
      <right/>
      <top/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/>
      <top style="dotted">
        <color rgb="FF000000"/>
      </top>
      <bottom style="thin">
        <color rgb="FF000000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dotted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left style="thin">
        <color rgb="FF000000"/>
      </left>
      <top style="dotted">
        <color rgb="FF000000"/>
      </top>
    </border>
    <border>
      <left style="thin">
        <color rgb="FF000000"/>
      </left>
      <right style="dotted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dotted">
        <color rgb="FF000000"/>
      </left>
      <right style="dotted">
        <color rgb="FF000000"/>
      </right>
      <top style="thin">
        <color rgb="FF000000"/>
      </top>
    </border>
    <border>
      <right style="dotted">
        <color rgb="FF000000"/>
      </right>
      <top style="thin">
        <color rgb="FF000000"/>
      </top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top style="thin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4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2" fontId="1" numFmtId="0" xfId="0" applyAlignment="1" applyBorder="1" applyFill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2" fontId="1" numFmtId="0" xfId="0" applyAlignment="1" applyBorder="1" applyFont="1">
      <alignment horizontal="center" readingOrder="0" shrinkToFit="0" vertical="bottom" wrapText="0"/>
    </xf>
    <xf borderId="5" fillId="3" fontId="2" numFmtId="0" xfId="0" applyAlignment="1" applyBorder="1" applyFill="1" applyFont="1">
      <alignment horizontal="center" readingOrder="0" shrinkToFit="0" wrapText="0"/>
    </xf>
    <xf borderId="6" fillId="0" fontId="3" numFmtId="0" xfId="0" applyBorder="1" applyFont="1"/>
    <xf borderId="7" fillId="0" fontId="3" numFmtId="0" xfId="0" applyBorder="1" applyFont="1"/>
    <xf borderId="0" fillId="4" fontId="4" numFmtId="0" xfId="0" applyAlignment="1" applyFill="1" applyFont="1">
      <alignment readingOrder="0" shrinkToFit="0" vertical="bottom" wrapText="0"/>
    </xf>
    <xf borderId="0" fillId="5" fontId="5" numFmtId="164" xfId="0" applyAlignment="1" applyFill="1" applyFont="1" applyNumberFormat="1">
      <alignment readingOrder="0" shrinkToFit="0" vertical="bottom" wrapText="0"/>
    </xf>
    <xf borderId="0" fillId="5" fontId="5" numFmtId="9" xfId="0" applyAlignment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9" fillId="6" fontId="1" numFmtId="9" xfId="0" applyAlignment="1" applyBorder="1" applyFill="1" applyFont="1" applyNumberFormat="1">
      <alignment horizontal="center" readingOrder="0" shrinkToFit="0" wrapText="0"/>
    </xf>
    <xf borderId="10" fillId="6" fontId="1" numFmtId="9" xfId="0" applyAlignment="1" applyBorder="1" applyFont="1" applyNumberFormat="1">
      <alignment horizontal="center" readingOrder="0" shrinkToFit="0" wrapText="0"/>
    </xf>
    <xf borderId="11" fillId="6" fontId="1" numFmtId="9" xfId="0" applyAlignment="1" applyBorder="1" applyFont="1" applyNumberFormat="1">
      <alignment horizontal="center" readingOrder="0" shrinkToFit="0" wrapText="0"/>
    </xf>
    <xf borderId="12" fillId="0" fontId="3" numFmtId="0" xfId="0" applyBorder="1" applyFont="1"/>
    <xf borderId="13" fillId="0" fontId="3" numFmtId="0" xfId="0" applyBorder="1" applyFont="1"/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9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/>
    </xf>
    <xf borderId="14" fillId="6" fontId="1" numFmtId="9" xfId="0" applyAlignment="1" applyBorder="1" applyFont="1" applyNumberFormat="1">
      <alignment horizontal="center" readingOrder="0" shrinkToFit="0" wrapText="0"/>
    </xf>
    <xf borderId="0" fillId="0" fontId="7" numFmtId="9" xfId="0" applyFont="1" applyNumberFormat="1"/>
    <xf borderId="15" fillId="2" fontId="1" numFmtId="0" xfId="0" applyAlignment="1" applyBorder="1" applyFont="1">
      <alignment readingOrder="0" shrinkToFit="0" vertical="bottom" wrapText="0"/>
    </xf>
    <xf borderId="16" fillId="6" fontId="1" numFmtId="9" xfId="0" applyAlignment="1" applyBorder="1" applyFont="1" applyNumberFormat="1">
      <alignment horizontal="center" readingOrder="0" shrinkToFit="0" wrapText="0"/>
    </xf>
    <xf borderId="17" fillId="6" fontId="1" numFmtId="9" xfId="0" applyAlignment="1" applyBorder="1" applyFont="1" applyNumberFormat="1">
      <alignment horizontal="center" readingOrder="0" shrinkToFit="0" wrapText="0"/>
    </xf>
    <xf borderId="18" fillId="7" fontId="8" numFmtId="0" xfId="0" applyAlignment="1" applyBorder="1" applyFill="1" applyFont="1">
      <alignment horizontal="center" readingOrder="0"/>
    </xf>
    <xf borderId="19" fillId="0" fontId="9" numFmtId="0" xfId="0" applyAlignment="1" applyBorder="1" applyFont="1">
      <alignment horizontal="right" readingOrder="0" shrinkToFit="0" vertical="bottom" wrapText="0"/>
    </xf>
    <xf borderId="18" fillId="0" fontId="9" numFmtId="0" xfId="0" applyAlignment="1" applyBorder="1" applyFont="1">
      <alignment horizontal="center" readingOrder="0"/>
    </xf>
    <xf borderId="18" fillId="0" fontId="9" numFmtId="0" xfId="0" applyAlignment="1" applyBorder="1" applyFont="1">
      <alignment horizontal="center" readingOrder="0" shrinkToFit="0" wrapText="0"/>
    </xf>
    <xf borderId="20" fillId="2" fontId="1" numFmtId="0" xfId="0" applyAlignment="1" applyBorder="1" applyFont="1">
      <alignment readingOrder="0" shrinkToFit="0" vertical="bottom" wrapText="0"/>
    </xf>
    <xf borderId="20" fillId="6" fontId="1" numFmtId="9" xfId="0" applyAlignment="1" applyBorder="1" applyFont="1" applyNumberFormat="1">
      <alignment horizontal="center" readingOrder="0" shrinkToFit="0" vertical="bottom" wrapText="0"/>
    </xf>
    <xf borderId="21" fillId="6" fontId="1" numFmtId="9" xfId="0" applyAlignment="1" applyBorder="1" applyFont="1" applyNumberFormat="1">
      <alignment horizontal="center" readingOrder="0" shrinkToFit="0" vertical="bottom" wrapText="0"/>
    </xf>
    <xf borderId="22" fillId="7" fontId="8" numFmtId="0" xfId="0" applyAlignment="1" applyBorder="1" applyFont="1">
      <alignment horizontal="center"/>
    </xf>
    <xf borderId="1" fillId="0" fontId="10" numFmtId="0" xfId="0" applyAlignment="1" applyBorder="1" applyFont="1">
      <alignment readingOrder="0" shrinkToFit="0" vertical="bottom" wrapText="0"/>
    </xf>
    <xf borderId="22" fillId="0" fontId="3" numFmtId="0" xfId="0" applyBorder="1" applyFont="1"/>
    <xf borderId="0" fillId="8" fontId="5" numFmtId="0" xfId="0" applyAlignment="1" applyFill="1" applyFont="1">
      <alignment readingOrder="0" shrinkToFit="0" vertical="bottom" wrapText="0"/>
    </xf>
    <xf borderId="0" fillId="8" fontId="5" numFmtId="0" xfId="0" applyAlignment="1" applyFont="1">
      <alignment horizontal="right" readingOrder="0" shrinkToFit="0" vertical="bottom" wrapText="0"/>
    </xf>
    <xf borderId="0" fillId="8" fontId="5" numFmtId="9" xfId="0" applyAlignment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9" fillId="6" fontId="1" numFmtId="9" xfId="0" applyAlignment="1" applyBorder="1" applyFont="1" applyNumberFormat="1">
      <alignment horizontal="center" readingOrder="0" shrinkToFit="0" vertical="bottom" wrapText="0"/>
    </xf>
    <xf borderId="23" fillId="6" fontId="1" numFmtId="9" xfId="0" applyAlignment="1" applyBorder="1" applyFont="1" applyNumberFormat="1">
      <alignment horizontal="center" readingOrder="0" shrinkToFit="0" vertical="bottom" wrapText="0"/>
    </xf>
    <xf borderId="24" fillId="3" fontId="11" numFmtId="0" xfId="0" applyAlignment="1" applyBorder="1" applyFont="1">
      <alignment horizontal="center" readingOrder="0" shrinkToFit="0" wrapText="0"/>
    </xf>
    <xf borderId="0" fillId="0" fontId="10" numFmtId="0" xfId="0" applyAlignment="1" applyFont="1">
      <alignment shrinkToFit="0" vertical="bottom" wrapText="0"/>
    </xf>
    <xf borderId="24" fillId="0" fontId="10" numFmtId="0" xfId="0" applyAlignment="1" applyBorder="1" applyFont="1">
      <alignment shrinkToFit="0" vertical="bottom" wrapText="0"/>
    </xf>
    <xf borderId="13" fillId="0" fontId="10" numFmtId="0" xfId="0" applyAlignment="1" applyBorder="1" applyFont="1">
      <alignment shrinkToFit="0" vertical="bottom" wrapText="0"/>
    </xf>
    <xf borderId="25" fillId="2" fontId="12" numFmtId="0" xfId="0" applyAlignment="1" applyBorder="1" applyFont="1">
      <alignment readingOrder="0" shrinkToFit="0" vertical="bottom" wrapText="0"/>
    </xf>
    <xf borderId="25" fillId="6" fontId="1" numFmtId="9" xfId="0" applyAlignment="1" applyBorder="1" applyFont="1" applyNumberFormat="1">
      <alignment horizontal="center" readingOrder="0" shrinkToFit="0" vertical="bottom" wrapText="0"/>
    </xf>
    <xf borderId="26" fillId="6" fontId="12" numFmtId="9" xfId="0" applyAlignment="1" applyBorder="1" applyFont="1" applyNumberFormat="1">
      <alignment horizontal="center" readingOrder="0" shrinkToFit="0" vertical="bottom" wrapText="0"/>
    </xf>
    <xf borderId="24" fillId="0" fontId="3" numFmtId="0" xfId="0" applyBorder="1" applyFont="1"/>
    <xf borderId="0" fillId="9" fontId="5" numFmtId="0" xfId="0" applyAlignment="1" applyFill="1" applyFont="1">
      <alignment readingOrder="0" shrinkToFit="0" vertical="bottom" wrapText="0"/>
    </xf>
    <xf borderId="0" fillId="9" fontId="5" numFmtId="0" xfId="0" applyAlignment="1" applyFont="1">
      <alignment horizontal="right" readingOrder="0" shrinkToFit="0" vertical="bottom" wrapText="0"/>
    </xf>
    <xf borderId="0" fillId="9" fontId="5" numFmtId="9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/>
    </xf>
    <xf borderId="24" fillId="7" fontId="9" numFmtId="0" xfId="0" applyAlignment="1" applyBorder="1" applyFont="1">
      <alignment readingOrder="0" shrinkToFit="0" vertical="bottom" wrapText="0"/>
    </xf>
    <xf borderId="6" fillId="0" fontId="10" numFmtId="0" xfId="0" applyAlignment="1" applyBorder="1" applyFont="1">
      <alignment shrinkToFit="0" vertical="bottom" wrapText="0"/>
    </xf>
    <xf borderId="7" fillId="0" fontId="10" numFmtId="0" xfId="0" applyAlignment="1" applyBorder="1" applyFont="1">
      <alignment shrinkToFit="0" vertical="bottom" wrapText="0"/>
    </xf>
    <xf borderId="24" fillId="0" fontId="9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27" fillId="2" fontId="9" numFmtId="0" xfId="0" applyAlignment="1" applyBorder="1" applyFont="1">
      <alignment horizontal="right" readingOrder="0" shrinkToFit="0" vertical="bottom" wrapText="0"/>
    </xf>
    <xf borderId="19" fillId="7" fontId="10" numFmtId="9" xfId="0" applyAlignment="1" applyBorder="1" applyFont="1" applyNumberFormat="1">
      <alignment horizontal="right" readingOrder="0" shrinkToFit="0" vertical="bottom" wrapText="0"/>
    </xf>
    <xf borderId="24" fillId="0" fontId="10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22" fillId="2" fontId="9" numFmtId="0" xfId="0" applyAlignment="1" applyBorder="1" applyFont="1">
      <alignment horizontal="right" readingOrder="0" shrinkToFit="0" vertical="bottom" wrapText="0"/>
    </xf>
    <xf borderId="1" fillId="7" fontId="10" numFmtId="9" xfId="0" applyAlignment="1" applyBorder="1" applyFont="1" applyNumberFormat="1">
      <alignment horizontal="right" readingOrder="0" shrinkToFit="0" vertical="bottom" wrapText="0"/>
    </xf>
    <xf borderId="22" fillId="10" fontId="9" numFmtId="0" xfId="0" applyAlignment="1" applyBorder="1" applyFill="1" applyFont="1">
      <alignment horizontal="right" readingOrder="0" shrinkToFit="0" vertical="bottom" wrapText="0"/>
    </xf>
    <xf borderId="0" fillId="11" fontId="5" numFmtId="0" xfId="0" applyAlignment="1" applyFill="1" applyFont="1">
      <alignment readingOrder="0" shrinkToFit="0" vertical="bottom" wrapText="0"/>
    </xf>
    <xf borderId="0" fillId="11" fontId="5" numFmtId="0" xfId="0" applyAlignment="1" applyFont="1">
      <alignment horizontal="right" readingOrder="0" shrinkToFit="0" vertical="bottom" wrapText="0"/>
    </xf>
    <xf borderId="0" fillId="11" fontId="5" numFmtId="9" xfId="0" applyAlignment="1" applyFont="1" applyNumberFormat="1">
      <alignment horizontal="right" readingOrder="0" shrinkToFit="0" vertical="bottom" wrapText="0"/>
    </xf>
    <xf borderId="22" fillId="2" fontId="9" numFmtId="0" xfId="0" applyAlignment="1" applyBorder="1" applyFont="1">
      <alignment shrinkToFit="0" vertical="bottom" wrapText="0"/>
    </xf>
    <xf borderId="0" fillId="12" fontId="5" numFmtId="0" xfId="0" applyAlignment="1" applyFill="1" applyFont="1">
      <alignment readingOrder="0" shrinkToFit="0" vertical="bottom" wrapText="0"/>
    </xf>
    <xf borderId="0" fillId="12" fontId="5" numFmtId="0" xfId="0" applyAlignment="1" applyFont="1">
      <alignment horizontal="right" readingOrder="0" shrinkToFit="0" vertical="bottom" wrapText="0"/>
    </xf>
    <xf borderId="0" fillId="12" fontId="5" numFmtId="9" xfId="0" applyAlignment="1" applyFont="1" applyNumberFormat="1">
      <alignment horizontal="right" readingOrder="0" shrinkToFit="0" vertical="bottom" wrapText="0"/>
    </xf>
    <xf borderId="24" fillId="7" fontId="14" numFmtId="0" xfId="0" applyAlignment="1" applyBorder="1" applyFont="1">
      <alignment readingOrder="0" shrinkToFit="0" vertical="bottom" wrapText="0"/>
    </xf>
    <xf borderId="0" fillId="7" fontId="14" numFmtId="0" xfId="0" applyAlignment="1" applyFont="1">
      <alignment horizontal="right" readingOrder="0" shrinkToFit="0" vertical="bottom" wrapText="0"/>
    </xf>
    <xf borderId="24" fillId="0" fontId="9" numFmtId="0" xfId="0" applyAlignment="1" applyBorder="1" applyFont="1">
      <alignment shrinkToFit="0" vertical="bottom" wrapText="0"/>
    </xf>
    <xf borderId="0" fillId="0" fontId="10" numFmtId="9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shrinkToFit="0" vertical="bottom" wrapText="0"/>
    </xf>
    <xf borderId="27" fillId="10" fontId="9" numFmtId="0" xfId="0" applyAlignment="1" applyBorder="1" applyFont="1">
      <alignment horizontal="right" readingOrder="0" shrinkToFit="0" vertical="bottom" wrapText="0"/>
    </xf>
    <xf borderId="22" fillId="0" fontId="10" numFmtId="0" xfId="0" applyAlignment="1" applyBorder="1" applyFont="1">
      <alignment shrinkToFit="0" vertical="bottom" wrapText="0"/>
    </xf>
    <xf borderId="24" fillId="13" fontId="9" numFmtId="0" xfId="0" applyAlignment="1" applyBorder="1" applyFill="1" applyFont="1">
      <alignment shrinkToFit="0" vertical="bottom" wrapText="0"/>
    </xf>
    <xf borderId="22" fillId="7" fontId="14" numFmtId="0" xfId="0" applyAlignment="1" applyBorder="1" applyFont="1">
      <alignment readingOrder="0" shrinkToFit="0" vertical="bottom" wrapText="0"/>
    </xf>
    <xf borderId="6" fillId="0" fontId="16" numFmtId="0" xfId="0" applyAlignment="1" applyBorder="1" applyFont="1">
      <alignment shrinkToFit="0" vertical="bottom" wrapText="0"/>
    </xf>
    <xf borderId="0" fillId="14" fontId="10" numFmtId="0" xfId="0" applyAlignment="1" applyFill="1" applyFont="1">
      <alignment shrinkToFit="0" vertical="bottom" wrapText="0"/>
    </xf>
    <xf borderId="28" fillId="7" fontId="14" numFmtId="0" xfId="0" applyAlignment="1" applyBorder="1" applyFont="1">
      <alignment horizontal="right" readingOrder="0" shrinkToFit="0" vertical="bottom" wrapText="0"/>
    </xf>
    <xf borderId="28" fillId="7" fontId="17" numFmtId="0" xfId="0" applyAlignment="1" applyBorder="1" applyFont="1">
      <alignment horizontal="right" readingOrder="0" shrinkToFit="0" vertical="bottom" wrapText="0"/>
    </xf>
    <xf borderId="0" fillId="0" fontId="18" numFmtId="0" xfId="0" applyFont="1"/>
    <xf borderId="0" fillId="0" fontId="15" numFmtId="10" xfId="0" applyAlignment="1" applyFont="1" applyNumberFormat="1">
      <alignment readingOrder="0"/>
    </xf>
    <xf borderId="27" fillId="0" fontId="11" numFmtId="0" xfId="0" applyAlignment="1" applyBorder="1" applyFont="1">
      <alignment readingOrder="0" shrinkToFit="0" vertical="bottom" wrapText="0"/>
    </xf>
    <xf borderId="27" fillId="0" fontId="1" numFmtId="0" xfId="0" applyAlignment="1" applyBorder="1" applyFont="1">
      <alignment horizontal="right" readingOrder="0" shrinkToFit="0" vertical="bottom" wrapText="0"/>
    </xf>
    <xf borderId="27" fillId="6" fontId="9" numFmtId="0" xfId="0" applyAlignment="1" applyBorder="1" applyFont="1">
      <alignment readingOrder="0" shrinkToFit="0" vertical="bottom" wrapText="0"/>
    </xf>
    <xf borderId="27" fillId="6" fontId="1" numFmtId="0" xfId="0" applyAlignment="1" applyBorder="1" applyFont="1">
      <alignment shrinkToFit="0" vertical="bottom" wrapText="0"/>
    </xf>
    <xf borderId="27" fillId="0" fontId="9" numFmtId="0" xfId="0" applyAlignment="1" applyBorder="1" applyFont="1">
      <alignment readingOrder="0" shrinkToFit="0" vertical="bottom" wrapText="0"/>
    </xf>
    <xf borderId="27" fillId="0" fontId="1" numFmtId="9" xfId="0" applyAlignment="1" applyBorder="1" applyFont="1" applyNumberFormat="1">
      <alignment horizontal="right" readingOrder="0" shrinkToFit="0" vertical="bottom" wrapText="0"/>
    </xf>
    <xf borderId="27" fillId="0" fontId="10" numFmtId="0" xfId="0" applyAlignment="1" applyBorder="1" applyFont="1">
      <alignment readingOrder="0" shrinkToFit="0" vertical="bottom" wrapText="0"/>
    </xf>
    <xf borderId="27" fillId="0" fontId="1" numFmtId="0" xfId="0" applyAlignment="1" applyBorder="1" applyFont="1">
      <alignment readingOrder="0" shrinkToFit="0" vertical="bottom" wrapText="0"/>
    </xf>
    <xf borderId="27" fillId="6" fontId="19" numFmtId="0" xfId="0" applyAlignment="1" applyBorder="1" applyFont="1">
      <alignment readingOrder="0" shrinkToFit="0" vertical="bottom" wrapText="0"/>
    </xf>
    <xf borderId="27" fillId="6" fontId="1" numFmtId="9" xfId="0" applyAlignment="1" applyBorder="1" applyFont="1" applyNumberFormat="1">
      <alignment horizontal="right" readingOrder="0" shrinkToFit="0" vertical="bottom" wrapText="0"/>
    </xf>
    <xf borderId="27" fillId="6" fontId="1" numFmtId="0" xfId="0" applyAlignment="1" applyBorder="1" applyFont="1">
      <alignment horizontal="right" readingOrder="0" shrinkToFit="0" vertical="bottom" wrapText="0"/>
    </xf>
    <xf borderId="27" fillId="0" fontId="11" numFmtId="0" xfId="0" applyAlignment="1" applyBorder="1" applyFont="1">
      <alignment shrinkToFit="0" vertical="bottom" wrapText="0"/>
    </xf>
    <xf borderId="27" fillId="0" fontId="1" numFmtId="0" xfId="0" applyAlignment="1" applyBorder="1" applyFont="1">
      <alignment shrinkToFit="0" vertical="bottom" wrapText="0"/>
    </xf>
    <xf borderId="27" fillId="10" fontId="9" numFmtId="0" xfId="0" applyAlignment="1" applyBorder="1" applyFont="1">
      <alignment readingOrder="0" shrinkToFit="0" vertical="bottom" wrapText="0"/>
    </xf>
    <xf borderId="27" fillId="10" fontId="1" numFmtId="0" xfId="0" applyAlignment="1" applyBorder="1" applyFont="1">
      <alignment shrinkToFit="0" vertical="bottom" wrapText="0"/>
    </xf>
    <xf borderId="27" fillId="0" fontId="20" numFmtId="0" xfId="0" applyAlignment="1" applyBorder="1" applyFont="1">
      <alignment readingOrder="0" shrinkToFit="0" vertical="bottom" wrapText="0"/>
    </xf>
    <xf borderId="27" fillId="10" fontId="21" numFmtId="0" xfId="0" applyAlignment="1" applyBorder="1" applyFont="1">
      <alignment readingOrder="0" shrinkToFit="0" vertical="bottom" wrapText="0"/>
    </xf>
    <xf borderId="27" fillId="10" fontId="1" numFmtId="9" xfId="0" applyAlignment="1" applyBorder="1" applyFont="1" applyNumberFormat="1">
      <alignment horizontal="right" readingOrder="0" shrinkToFit="0" vertical="bottom" wrapText="0"/>
    </xf>
    <xf borderId="27" fillId="10" fontId="22" numFmtId="0" xfId="0" applyAlignment="1" applyBorder="1" applyFont="1">
      <alignment readingOrder="0" shrinkToFit="0" vertical="bottom" wrapText="0"/>
    </xf>
    <xf borderId="27" fillId="15" fontId="22" numFmtId="0" xfId="0" applyAlignment="1" applyBorder="1" applyFill="1" applyFont="1">
      <alignment readingOrder="0" shrinkToFit="0" vertical="bottom" wrapText="0"/>
    </xf>
    <xf borderId="27" fillId="10" fontId="1" numFmtId="0" xfId="0" applyAlignment="1" applyBorder="1" applyFont="1">
      <alignment horizontal="right" readingOrder="0" shrinkToFit="0" vertical="bottom" wrapText="0"/>
    </xf>
    <xf borderId="27" fillId="13" fontId="11" numFmtId="0" xfId="0" applyAlignment="1" applyBorder="1" applyFont="1">
      <alignment readingOrder="0" shrinkToFit="0" vertical="bottom" wrapText="0"/>
    </xf>
    <xf borderId="27" fillId="13" fontId="1" numFmtId="0" xfId="0" applyAlignment="1" applyBorder="1" applyFont="1">
      <alignment shrinkToFit="0" vertical="bottom" wrapText="0"/>
    </xf>
    <xf borderId="27" fillId="7" fontId="9" numFmtId="0" xfId="0" applyAlignment="1" applyBorder="1" applyFont="1">
      <alignment readingOrder="0" shrinkToFit="0" vertical="bottom" wrapText="0"/>
    </xf>
    <xf borderId="27" fillId="7" fontId="1" numFmtId="0" xfId="0" applyAlignment="1" applyBorder="1" applyFont="1">
      <alignment shrinkToFit="0" vertical="bottom" wrapText="0"/>
    </xf>
    <xf borderId="27" fillId="13" fontId="9" numFmtId="0" xfId="0" applyAlignment="1" applyBorder="1" applyFont="1">
      <alignment readingOrder="0" shrinkToFit="0" vertical="bottom" wrapText="0"/>
    </xf>
    <xf borderId="27" fillId="13" fontId="1" numFmtId="0" xfId="0" applyAlignment="1" applyBorder="1" applyFont="1">
      <alignment horizontal="right" readingOrder="0" shrinkToFit="0" vertical="bottom" wrapText="0"/>
    </xf>
    <xf borderId="27" fillId="13" fontId="1" numFmtId="9" xfId="0" applyAlignment="1" applyBorder="1" applyFont="1" applyNumberFormat="1">
      <alignment horizontal="right" readingOrder="0" shrinkToFit="0" vertical="bottom" wrapText="0"/>
    </xf>
    <xf borderId="27" fillId="7" fontId="1" numFmtId="9" xfId="0" applyAlignment="1" applyBorder="1" applyFont="1" applyNumberFormat="1">
      <alignment horizontal="right" readingOrder="0" shrinkToFit="0" vertical="bottom" wrapText="0"/>
    </xf>
    <xf borderId="27" fillId="13" fontId="10" numFmtId="0" xfId="0" applyAlignment="1" applyBorder="1" applyFon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27" fillId="0" fontId="1" numFmtId="165" xfId="0" applyAlignment="1" applyBorder="1" applyFont="1" applyNumberFormat="1">
      <alignment horizontal="right" readingOrder="0" shrinkToFit="0" vertical="bottom" wrapText="0"/>
    </xf>
    <xf borderId="27" fillId="7" fontId="14" numFmtId="0" xfId="0" applyAlignment="1" applyBorder="1" applyFont="1">
      <alignment readingOrder="0" shrinkToFit="0" vertical="bottom" wrapText="0"/>
    </xf>
    <xf borderId="27" fillId="16" fontId="1" numFmtId="9" xfId="0" applyAlignment="1" applyBorder="1" applyFill="1" applyFont="1" applyNumberFormat="1">
      <alignment horizontal="right" readingOrder="0" shrinkToFit="0" vertical="bottom" wrapText="0"/>
    </xf>
    <xf borderId="27" fillId="4" fontId="1" numFmtId="9" xfId="0" applyAlignment="1" applyBorder="1" applyFont="1" applyNumberFormat="1">
      <alignment horizontal="right" readingOrder="0" shrinkToFit="0" vertical="bottom" wrapText="0"/>
    </xf>
    <xf borderId="0" fillId="0" fontId="18" numFmtId="9" xfId="0" applyFont="1" applyNumberFormat="1"/>
    <xf borderId="0" fillId="0" fontId="7" numFmtId="0" xfId="0" applyAlignment="1" applyFont="1">
      <alignment readingOrder="0"/>
    </xf>
    <xf borderId="29" fillId="0" fontId="23" numFmtId="0" xfId="0" applyAlignment="1" applyBorder="1" applyFont="1">
      <alignment horizontal="left" readingOrder="0" shrinkToFit="0" vertical="center" wrapText="0"/>
    </xf>
    <xf borderId="30" fillId="0" fontId="7" numFmtId="0" xfId="0" applyAlignment="1" applyBorder="1" applyFont="1">
      <alignment horizontal="left" readingOrder="0" shrinkToFit="0" vertical="center" wrapText="0"/>
    </xf>
    <xf borderId="29" fillId="0" fontId="7" numFmtId="0" xfId="0" applyAlignment="1" applyBorder="1" applyFont="1">
      <alignment horizontal="left" readingOrder="0" shrinkToFit="0" vertical="center" wrapText="0"/>
    </xf>
    <xf borderId="30" fillId="0" fontId="6" numFmtId="0" xfId="0" applyAlignment="1" applyBorder="1" applyFont="1">
      <alignment horizontal="left" readingOrder="0" shrinkToFit="0" vertical="center" wrapText="0"/>
    </xf>
    <xf borderId="31" fillId="0" fontId="15" numFmtId="0" xfId="0" applyAlignment="1" applyBorder="1" applyFont="1">
      <alignment readingOrder="0" shrinkToFit="0" vertical="center" wrapText="0"/>
    </xf>
    <xf borderId="32" fillId="0" fontId="18" numFmtId="10" xfId="0" applyAlignment="1" applyBorder="1" applyFont="1" applyNumberFormat="1">
      <alignment shrinkToFit="0" vertical="center" wrapText="0"/>
    </xf>
    <xf borderId="31" fillId="0" fontId="6" numFmtId="0" xfId="0" applyAlignment="1" applyBorder="1" applyFont="1">
      <alignment readingOrder="0" shrinkToFit="0" vertical="center" wrapText="0"/>
    </xf>
    <xf borderId="32" fillId="0" fontId="7" numFmtId="10" xfId="0" applyAlignment="1" applyBorder="1" applyFont="1" applyNumberFormat="1">
      <alignment shrinkToFit="0" vertical="center" wrapText="0"/>
    </xf>
    <xf borderId="33" fillId="0" fontId="15" numFmtId="0" xfId="0" applyAlignment="1" applyBorder="1" applyFont="1">
      <alignment readingOrder="0" shrinkToFit="0" vertical="center" wrapText="0"/>
    </xf>
    <xf borderId="34" fillId="0" fontId="15" numFmtId="10" xfId="0" applyAlignment="1" applyBorder="1" applyFont="1" applyNumberFormat="1">
      <alignment readingOrder="0" shrinkToFit="0" vertical="center" wrapText="0"/>
    </xf>
    <xf borderId="35" fillId="0" fontId="6" numFmtId="0" xfId="0" applyAlignment="1" applyBorder="1" applyFont="1">
      <alignment readingOrder="0" shrinkToFit="0" vertical="center" wrapText="0"/>
    </xf>
    <xf borderId="36" fillId="0" fontId="7" numFmtId="9" xfId="0" applyAlignment="1" applyBorder="1" applyFont="1" applyNumberFormat="1">
      <alignment shrinkToFit="0" vertical="center" wrapText="0"/>
    </xf>
    <xf borderId="37" fillId="0" fontId="15" numFmtId="0" xfId="0" applyAlignment="1" applyBorder="1" applyFont="1">
      <alignment readingOrder="0" shrinkToFit="0" vertical="center" wrapText="0"/>
    </xf>
    <xf borderId="38" fillId="0" fontId="15" numFmtId="10" xfId="0" applyAlignment="1" applyBorder="1" applyFont="1" applyNumberFormat="1">
      <alignment readingOrder="0" shrinkToFit="0" vertical="center" wrapText="0"/>
    </xf>
    <xf borderId="0" fillId="0" fontId="5" numFmtId="0" xfId="0" applyAlignment="1" applyFont="1">
      <alignment shrinkToFit="0" vertical="bottom" wrapText="0"/>
    </xf>
    <xf borderId="0" fillId="17" fontId="5" numFmtId="0" xfId="0" applyAlignment="1" applyFill="1" applyFont="1">
      <alignment readingOrder="0" shrinkToFit="0" vertical="bottom" wrapText="0"/>
    </xf>
    <xf borderId="1" fillId="0" fontId="24" numFmtId="0" xfId="0" applyAlignment="1" applyBorder="1" applyFont="1">
      <alignment vertical="bottom"/>
    </xf>
    <xf borderId="39" fillId="18" fontId="24" numFmtId="0" xfId="0" applyAlignment="1" applyBorder="1" applyFill="1" applyFont="1">
      <alignment horizontal="center"/>
    </xf>
    <xf borderId="40" fillId="18" fontId="24" numFmtId="0" xfId="0" applyAlignment="1" applyBorder="1" applyFont="1">
      <alignment horizontal="center"/>
    </xf>
    <xf borderId="41" fillId="18" fontId="24" numFmtId="0" xfId="0" applyAlignment="1" applyBorder="1" applyFont="1">
      <alignment horizontal="center"/>
    </xf>
    <xf borderId="4" fillId="18" fontId="24" numFmtId="0" xfId="0" applyAlignment="1" applyBorder="1" applyFont="1">
      <alignment vertical="bottom"/>
    </xf>
    <xf borderId="0" fillId="5" fontId="5" numFmtId="0" xfId="0" applyAlignment="1" applyFont="1">
      <alignment readingOrder="0" shrinkToFit="0" vertical="bottom" wrapText="0"/>
    </xf>
    <xf borderId="0" fillId="5" fontId="5" numFmtId="166" xfId="0" applyAlignment="1" applyFont="1" applyNumberFormat="1">
      <alignment horizontal="right" readingOrder="0" shrinkToFit="0" vertical="bottom" wrapText="0"/>
    </xf>
    <xf borderId="0" fillId="5" fontId="5" numFmtId="4" xfId="0" applyAlignment="1" applyFont="1" applyNumberFormat="1">
      <alignment horizontal="right" readingOrder="0" shrinkToFit="0" vertical="bottom" wrapText="0"/>
    </xf>
    <xf borderId="42" fillId="18" fontId="24" numFmtId="0" xfId="0" applyAlignment="1" applyBorder="1" applyFont="1">
      <alignment vertical="bottom"/>
    </xf>
    <xf borderId="43" fillId="19" fontId="25" numFmtId="0" xfId="0" applyAlignment="1" applyBorder="1" applyFill="1" applyFont="1">
      <alignment horizontal="center" readingOrder="0" vertical="bottom"/>
    </xf>
    <xf borderId="43" fillId="19" fontId="25" numFmtId="167" xfId="0" applyAlignment="1" applyBorder="1" applyFont="1" applyNumberFormat="1">
      <alignment horizontal="center" readingOrder="0" vertical="bottom"/>
    </xf>
    <xf borderId="44" fillId="19" fontId="25" numFmtId="167" xfId="0" applyAlignment="1" applyBorder="1" applyFont="1" applyNumberFormat="1">
      <alignment horizontal="center" readingOrder="0" vertical="bottom"/>
    </xf>
    <xf borderId="11" fillId="19" fontId="25" numFmtId="167" xfId="0" applyAlignment="1" applyBorder="1" applyFont="1" applyNumberFormat="1">
      <alignment horizontal="right" readingOrder="0" vertical="bottom"/>
    </xf>
    <xf borderId="0" fillId="20" fontId="5" numFmtId="0" xfId="0" applyAlignment="1" applyFill="1" applyFont="1">
      <alignment readingOrder="0" shrinkToFit="0" vertical="bottom" wrapText="0"/>
    </xf>
    <xf borderId="0" fillId="20" fontId="5" numFmtId="166" xfId="0" applyAlignment="1" applyFont="1" applyNumberFormat="1">
      <alignment horizontal="right" readingOrder="0" shrinkToFit="0" vertical="bottom" wrapText="0"/>
    </xf>
    <xf borderId="0" fillId="20" fontId="5" numFmtId="0" xfId="0" applyAlignment="1" applyFont="1">
      <alignment horizontal="right" readingOrder="0" shrinkToFit="0" vertical="bottom" wrapText="0"/>
    </xf>
    <xf borderId="45" fillId="18" fontId="24" numFmtId="0" xfId="0" applyAlignment="1" applyBorder="1" applyFont="1">
      <alignment vertical="bottom"/>
    </xf>
    <xf borderId="46" fillId="19" fontId="25" numFmtId="2" xfId="0" applyAlignment="1" applyBorder="1" applyFont="1" applyNumberFormat="1">
      <alignment horizontal="center" readingOrder="0" vertical="bottom"/>
    </xf>
    <xf borderId="46" fillId="19" fontId="25" numFmtId="167" xfId="0" applyAlignment="1" applyBorder="1" applyFont="1" applyNumberFormat="1">
      <alignment horizontal="center" readingOrder="0" vertical="bottom"/>
    </xf>
    <xf borderId="47" fillId="19" fontId="25" numFmtId="167" xfId="0" applyAlignment="1" applyBorder="1" applyFont="1" applyNumberFormat="1">
      <alignment horizontal="center" readingOrder="0" vertical="bottom"/>
    </xf>
    <xf borderId="0" fillId="21" fontId="5" numFmtId="0" xfId="0" applyAlignment="1" applyFill="1" applyFont="1">
      <alignment readingOrder="0" shrinkToFit="0" vertical="bottom" wrapText="0"/>
    </xf>
    <xf borderId="0" fillId="21" fontId="5" numFmtId="166" xfId="0" applyAlignment="1" applyFont="1" applyNumberFormat="1">
      <alignment horizontal="right" readingOrder="0" shrinkToFit="0" vertical="bottom" wrapText="0"/>
    </xf>
    <xf borderId="0" fillId="21" fontId="5" numFmtId="0" xfId="0" applyAlignment="1" applyFont="1">
      <alignment horizontal="right" readingOrder="0" shrinkToFit="0" vertical="bottom" wrapText="0"/>
    </xf>
    <xf borderId="48" fillId="18" fontId="24" numFmtId="0" xfId="0" applyAlignment="1" applyBorder="1" applyFont="1">
      <alignment vertical="bottom"/>
    </xf>
    <xf borderId="49" fillId="19" fontId="25" numFmtId="2" xfId="0" applyAlignment="1" applyBorder="1" applyFont="1" applyNumberFormat="1">
      <alignment horizontal="center" readingOrder="0" vertical="bottom"/>
    </xf>
    <xf borderId="49" fillId="19" fontId="25" numFmtId="167" xfId="0" applyAlignment="1" applyBorder="1" applyFont="1" applyNumberFormat="1">
      <alignment horizontal="center" readingOrder="0" vertical="bottom"/>
    </xf>
    <xf borderId="50" fillId="19" fontId="25" numFmtId="167" xfId="0" applyAlignment="1" applyBorder="1" applyFont="1" applyNumberFormat="1">
      <alignment horizontal="center" readingOrder="0" vertical="bottom"/>
    </xf>
    <xf borderId="26" fillId="19" fontId="25" numFmtId="167" xfId="0" applyAlignment="1" applyBorder="1" applyFont="1" applyNumberFormat="1">
      <alignment horizontal="right" readingOrder="0" vertical="bottom"/>
    </xf>
    <xf borderId="27" fillId="7" fontId="8" numFmtId="0" xfId="0" applyAlignment="1" applyBorder="1" applyFont="1">
      <alignment horizontal="center" readingOrder="0"/>
    </xf>
    <xf borderId="19" fillId="0" fontId="9" numFmtId="0" xfId="0" applyAlignment="1" applyBorder="1" applyFont="1">
      <alignment horizontal="center" readingOrder="0" shrinkToFit="0" wrapText="0"/>
    </xf>
    <xf borderId="19" fillId="0" fontId="9" numFmtId="0" xfId="0" applyAlignment="1" applyBorder="1" applyFont="1">
      <alignment horizontal="center" readingOrder="0"/>
    </xf>
    <xf borderId="0" fillId="0" fontId="26" numFmtId="0" xfId="0" applyAlignment="1" applyFont="1">
      <alignment readingOrder="0" shrinkToFit="0" vertical="bottom" wrapText="0"/>
    </xf>
    <xf borderId="0" fillId="5" fontId="1" numFmtId="0" xfId="0" applyAlignment="1" applyFont="1">
      <alignment horizontal="right" readingOrder="0" shrinkToFit="0" vertical="bottom" wrapText="0"/>
    </xf>
    <xf borderId="0" fillId="22" fontId="9" numFmtId="0" xfId="0" applyAlignment="1" applyFill="1" applyFont="1">
      <alignment horizontal="center" readingOrder="0" shrinkToFit="0" vertical="bottom" wrapText="0"/>
    </xf>
    <xf borderId="13" fillId="0" fontId="10" numFmtId="165" xfId="0" applyAlignment="1" applyBorder="1" applyFont="1" applyNumberFormat="1">
      <alignment horizontal="right" readingOrder="0" shrinkToFit="0" vertical="bottom" wrapText="0"/>
    </xf>
    <xf borderId="1" fillId="2" fontId="10" numFmtId="0" xfId="0" applyAlignment="1" applyBorder="1" applyFont="1">
      <alignment horizontal="right" readingOrder="0" shrinkToFit="0" vertical="bottom" wrapText="0"/>
    </xf>
    <xf borderId="13" fillId="0" fontId="26" numFmtId="0" xfId="0" applyAlignment="1" applyBorder="1" applyFont="1">
      <alignment horizontal="right" readingOrder="0" shrinkToFit="0" vertical="bottom" wrapText="0"/>
    </xf>
    <xf borderId="0" fillId="10" fontId="10" numFmtId="0" xfId="0" applyAlignment="1" applyFont="1">
      <alignment readingOrder="0" shrinkToFit="0" vertical="bottom" wrapText="0"/>
    </xf>
    <xf borderId="0" fillId="10" fontId="1" numFmtId="166" xfId="0" applyAlignment="1" applyFont="1" applyNumberFormat="1">
      <alignment horizontal="right" readingOrder="0" shrinkToFit="0" vertical="bottom" wrapText="0"/>
    </xf>
    <xf borderId="0" fillId="10" fontId="12" numFmtId="0" xfId="0" applyAlignment="1" applyFont="1">
      <alignment horizontal="right" readingOrder="0" shrinkToFit="0" vertical="bottom" wrapText="0"/>
    </xf>
    <xf borderId="1" fillId="10" fontId="10" numFmtId="0" xfId="0" applyAlignment="1" applyBorder="1" applyFont="1">
      <alignment horizontal="right" readingOrder="0" shrinkToFit="0" vertical="bottom" wrapText="0"/>
    </xf>
    <xf borderId="0" fillId="23" fontId="10" numFmtId="0" xfId="0" applyAlignment="1" applyFill="1" applyFont="1">
      <alignment readingOrder="0" shrinkToFit="0" vertical="bottom" wrapText="0"/>
    </xf>
    <xf borderId="0" fillId="23" fontId="1" numFmtId="166" xfId="0" applyAlignment="1" applyFont="1" applyNumberFormat="1">
      <alignment horizontal="right" readingOrder="0" shrinkToFit="0" vertical="bottom" wrapText="0"/>
    </xf>
    <xf borderId="0" fillId="23" fontId="12" numFmtId="0" xfId="0" applyAlignment="1" applyFont="1">
      <alignment horizontal="center" readingOrder="0" shrinkToFit="0" vertical="bottom" wrapText="0"/>
    </xf>
    <xf borderId="22" fillId="7" fontId="9" numFmtId="0" xfId="0" applyAlignment="1" applyBorder="1" applyFont="1">
      <alignment readingOrder="0" shrinkToFit="0" vertical="bottom" wrapText="0"/>
    </xf>
    <xf borderId="1" fillId="0" fontId="10" numFmtId="165" xfId="0" applyAlignment="1" applyBorder="1" applyFont="1" applyNumberFormat="1">
      <alignment horizontal="right" readingOrder="0" shrinkToFit="0" vertical="bottom" wrapText="0"/>
    </xf>
    <xf borderId="1" fillId="0" fontId="10" numFmtId="166" xfId="0" applyAlignment="1" applyBorder="1" applyFont="1" applyNumberFormat="1">
      <alignment horizontal="right" readingOrder="0" shrinkToFit="0" vertical="bottom" wrapText="0"/>
    </xf>
    <xf borderId="1" fillId="0" fontId="26" numFmtId="0" xfId="0" applyAlignment="1" applyBorder="1" applyFont="1">
      <alignment horizontal="right" readingOrder="0" shrinkToFit="0" vertical="bottom" wrapText="0"/>
    </xf>
    <xf borderId="0" fillId="2" fontId="10" numFmtId="0" xfId="0" applyAlignment="1" applyFont="1">
      <alignment readingOrder="0" shrinkToFit="0" vertical="bottom" wrapText="0"/>
    </xf>
    <xf borderId="0" fillId="2" fontId="1" numFmtId="166" xfId="0" applyAlignment="1" applyFont="1" applyNumberFormat="1">
      <alignment horizontal="right" readingOrder="0" shrinkToFit="0" vertical="bottom" wrapText="0"/>
    </xf>
    <xf borderId="0" fillId="2" fontId="12" numFmtId="0" xfId="0" applyAlignment="1" applyFont="1">
      <alignment horizontal="center" readingOrder="0" shrinkToFit="0" vertical="bottom" wrapText="0"/>
    </xf>
    <xf borderId="51" fillId="0" fontId="7" numFmtId="0" xfId="0" applyAlignment="1" applyBorder="1" applyFont="1">
      <alignment horizontal="left" readingOrder="0" shrinkToFit="0" vertical="center" wrapText="0"/>
    </xf>
    <xf borderId="52" fillId="0" fontId="6" numFmtId="0" xfId="0" applyAlignment="1" applyBorder="1" applyFont="1">
      <alignment readingOrder="0" shrinkToFit="0" vertical="center" wrapText="0"/>
    </xf>
    <xf borderId="32" fillId="0" fontId="6" numFmtId="0" xfId="0" applyAlignment="1" applyBorder="1" applyFont="1">
      <alignment readingOrder="0" shrinkToFit="0" vertical="center" wrapText="0"/>
    </xf>
    <xf borderId="33" fillId="0" fontId="6" numFmtId="0" xfId="0" applyAlignment="1" applyBorder="1" applyFont="1">
      <alignment readingOrder="0" shrinkToFit="0" vertical="center" wrapText="0"/>
    </xf>
    <xf borderId="53" fillId="0" fontId="7" numFmtId="4" xfId="0" applyAlignment="1" applyBorder="1" applyFont="1" applyNumberFormat="1">
      <alignment shrinkToFit="0" vertical="center" wrapText="0"/>
    </xf>
    <xf borderId="34" fillId="0" fontId="6" numFmtId="0" xfId="0" applyAlignment="1" applyBorder="1" applyFont="1">
      <alignment readingOrder="0" shrinkToFit="0" vertical="center" wrapText="0"/>
    </xf>
    <xf borderId="52" fillId="0" fontId="7" numFmtId="4" xfId="0" applyAlignment="1" applyBorder="1" applyFont="1" applyNumberFormat="1">
      <alignment shrinkToFit="0" vertical="center" wrapText="0"/>
    </xf>
    <xf borderId="54" fillId="0" fontId="7" numFmtId="4" xfId="0" applyAlignment="1" applyBorder="1" applyFont="1" applyNumberFormat="1">
      <alignment shrinkToFit="0" vertical="center" wrapText="0"/>
    </xf>
    <xf borderId="36" fillId="0" fontId="6" numFmtId="0" xfId="0" applyAlignment="1" applyBorder="1" applyFont="1">
      <alignment readingOrder="0" shrinkToFit="0" vertical="center" wrapText="0"/>
    </xf>
    <xf borderId="5" fillId="3" fontId="27" numFmtId="0" xfId="0" applyAlignment="1" applyBorder="1" applyFont="1">
      <alignment horizontal="center" readingOrder="0" shrinkToFit="0" wrapText="0"/>
    </xf>
    <xf borderId="55" fillId="0" fontId="3" numFmtId="0" xfId="0" applyBorder="1" applyFont="1"/>
    <xf borderId="56" fillId="0" fontId="3" numFmtId="0" xfId="0" applyBorder="1" applyFont="1"/>
    <xf borderId="57" fillId="0" fontId="3" numFmtId="0" xfId="0" applyBorder="1" applyFont="1"/>
    <xf borderId="22" fillId="7" fontId="8" numFmtId="0" xfId="0" applyAlignment="1" applyBorder="1" applyFont="1">
      <alignment horizontal="center" readingOrder="0"/>
    </xf>
    <xf borderId="1" fillId="0" fontId="9" numFmtId="165" xfId="0" applyAlignment="1" applyBorder="1" applyFont="1" applyNumberFormat="1">
      <alignment horizontal="center" readingOrder="0" shrinkToFit="0" wrapText="0"/>
    </xf>
    <xf borderId="1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 shrinkToFit="0" wrapText="0"/>
    </xf>
    <xf borderId="13" fillId="0" fontId="10" numFmtId="9" xfId="0" applyAlignment="1" applyBorder="1" applyFont="1" applyNumberFormat="1">
      <alignment horizontal="right" readingOrder="0" shrinkToFit="0" vertical="bottom" wrapText="0"/>
    </xf>
    <xf borderId="1" fillId="2" fontId="10" numFmtId="9" xfId="0" applyAlignment="1" applyBorder="1" applyFont="1" applyNumberFormat="1">
      <alignment horizontal="right" readingOrder="0" shrinkToFit="0" vertical="bottom" wrapText="0"/>
    </xf>
    <xf borderId="13" fillId="0" fontId="10" numFmtId="0" xfId="0" applyAlignment="1" applyBorder="1" applyFont="1">
      <alignment horizontal="right" readingOrder="0" shrinkToFit="0" vertical="bottom" wrapText="0"/>
    </xf>
    <xf borderId="13" fillId="24" fontId="10" numFmtId="0" xfId="0" applyAlignment="1" applyBorder="1" applyFill="1" applyFont="1">
      <alignment horizontal="right" readingOrder="0" shrinkToFit="0" vertical="bottom" wrapText="0"/>
    </xf>
    <xf borderId="13" fillId="0" fontId="10" numFmtId="10" xfId="0" applyAlignment="1" applyBorder="1" applyFont="1" applyNumberFormat="1">
      <alignment horizontal="right" readingOrder="0" shrinkToFit="0" vertical="bottom" wrapText="0"/>
    </xf>
    <xf borderId="13" fillId="2" fontId="10" numFmtId="9" xfId="0" applyAlignment="1" applyBorder="1" applyFont="1" applyNumberFormat="1">
      <alignment horizontal="right" readingOrder="0" shrinkToFit="0" vertical="bottom" wrapText="0"/>
    </xf>
    <xf borderId="13" fillId="7" fontId="10" numFmtId="0" xfId="0" applyAlignment="1" applyBorder="1" applyFont="1">
      <alignment shrinkToFit="0" vertical="bottom" wrapText="0"/>
    </xf>
    <xf borderId="19" fillId="13" fontId="10" numFmtId="0" xfId="0" applyAlignment="1" applyBorder="1" applyFont="1">
      <alignment shrinkToFit="0" vertical="bottom" wrapText="0"/>
    </xf>
    <xf borderId="1" fillId="0" fontId="10" numFmtId="9" xfId="0" applyAlignment="1" applyBorder="1" applyFont="1" applyNumberFormat="1">
      <alignment horizontal="right" readingOrder="0" shrinkToFit="0" vertical="bottom" wrapText="0"/>
    </xf>
    <xf borderId="1" fillId="7" fontId="10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horizontal="right" readingOrder="0" shrinkToFit="0" vertical="bottom" wrapText="0"/>
    </xf>
    <xf borderId="27" fillId="25" fontId="12" numFmtId="0" xfId="0" applyAlignment="1" applyBorder="1" applyFill="1" applyFont="1">
      <alignment horizontal="center" readingOrder="0" shrinkToFit="0" vertical="bottom" wrapText="0"/>
    </xf>
    <xf borderId="58" fillId="25" fontId="1" numFmtId="0" xfId="0" applyAlignment="1" applyBorder="1" applyFont="1">
      <alignment horizontal="center" readingOrder="0" shrinkToFit="0" wrapText="0"/>
    </xf>
    <xf borderId="40" fillId="25" fontId="1" numFmtId="0" xfId="0" applyAlignment="1" applyBorder="1" applyFont="1">
      <alignment horizontal="center" readingOrder="0" shrinkToFit="0" wrapText="0"/>
    </xf>
    <xf borderId="2" fillId="25" fontId="1" numFmtId="0" xfId="0" applyAlignment="1" applyBorder="1" applyFont="1">
      <alignment horizontal="center" readingOrder="0" shrinkToFit="0" wrapText="0"/>
    </xf>
    <xf borderId="59" fillId="25" fontId="1" numFmtId="0" xfId="0" applyAlignment="1" applyBorder="1" applyFont="1">
      <alignment horizontal="center" readingOrder="0" shrinkToFit="0" wrapText="0"/>
    </xf>
    <xf borderId="60" fillId="25" fontId="1" numFmtId="0" xfId="0" applyAlignment="1" applyBorder="1" applyFont="1">
      <alignment readingOrder="0" shrinkToFit="0" vertical="bottom" wrapText="0"/>
    </xf>
    <xf borderId="61" fillId="25" fontId="1" numFmtId="0" xfId="0" applyAlignment="1" applyBorder="1" applyFont="1">
      <alignment readingOrder="0" shrinkToFit="0" vertical="bottom" wrapText="0"/>
    </xf>
    <xf borderId="8" fillId="6" fontId="1" numFmtId="0" xfId="0" applyAlignment="1" applyBorder="1" applyFont="1">
      <alignment horizontal="right" readingOrder="0" shrinkToFit="0" vertical="bottom" wrapText="0"/>
    </xf>
    <xf borderId="62" fillId="6" fontId="1" numFmtId="0" xfId="0" applyAlignment="1" applyBorder="1" applyFont="1">
      <alignment horizontal="right" readingOrder="0" shrinkToFit="0" vertical="bottom" wrapText="0"/>
    </xf>
    <xf borderId="9" fillId="6" fontId="1" numFmtId="0" xfId="0" applyAlignment="1" applyBorder="1" applyFont="1">
      <alignment horizontal="right" readingOrder="0" shrinkToFit="0" vertical="bottom" wrapText="0"/>
    </xf>
    <xf borderId="14" fillId="6" fontId="1" numFmtId="0" xfId="0" applyAlignment="1" applyBorder="1" applyFont="1">
      <alignment horizontal="right" readingOrder="0" shrinkToFit="0" vertical="bottom" wrapText="0"/>
    </xf>
    <xf borderId="63" fillId="6" fontId="1" numFmtId="0" xfId="0" applyAlignment="1" applyBorder="1" applyFont="1">
      <alignment horizontal="right" readingOrder="0" shrinkToFit="0" vertical="bottom" wrapText="0"/>
    </xf>
    <xf borderId="64" fillId="25" fontId="1" numFmtId="0" xfId="0" applyAlignment="1" applyBorder="1" applyFont="1">
      <alignment readingOrder="0" shrinkToFit="0" vertical="bottom" wrapText="0"/>
    </xf>
    <xf borderId="45" fillId="6" fontId="1" numFmtId="0" xfId="0" applyAlignment="1" applyBorder="1" applyFont="1">
      <alignment horizontal="right" readingOrder="0" shrinkToFit="0" vertical="bottom" wrapText="0"/>
    </xf>
    <xf borderId="21" fillId="6" fontId="1" numFmtId="0" xfId="0" applyAlignment="1" applyBorder="1" applyFont="1">
      <alignment horizontal="right" readingOrder="0" shrinkToFit="0" vertical="bottom" wrapText="0"/>
    </xf>
    <xf borderId="65" fillId="25" fontId="1" numFmtId="0" xfId="0" applyAlignment="1" applyBorder="1" applyFont="1">
      <alignment readingOrder="0" shrinkToFit="0" vertical="bottom" wrapText="0"/>
    </xf>
    <xf borderId="23" fillId="6" fontId="1" numFmtId="0" xfId="0" applyAlignment="1" applyBorder="1" applyFont="1">
      <alignment horizontal="right" readingOrder="0" shrinkToFit="0" vertical="bottom" wrapText="0"/>
    </xf>
    <xf borderId="48" fillId="6" fontId="1" numFmtId="0" xfId="0" applyAlignment="1" applyBorder="1" applyFont="1">
      <alignment horizontal="right" readingOrder="0" shrinkToFit="0" vertical="bottom" wrapText="0"/>
    </xf>
    <xf borderId="12" fillId="25" fontId="1" numFmtId="0" xfId="0" applyAlignment="1" applyBorder="1" applyFont="1">
      <alignment readingOrder="0" shrinkToFit="0" vertical="bottom" wrapText="0"/>
    </xf>
    <xf borderId="66" fillId="25" fontId="1" numFmtId="0" xfId="0" applyAlignment="1" applyBorder="1" applyFont="1">
      <alignment readingOrder="0" shrinkToFit="0" vertical="bottom" wrapText="0"/>
    </xf>
    <xf borderId="0" fillId="17" fontId="4" numFmtId="0" xfId="0" applyAlignment="1" applyFont="1">
      <alignment readingOrder="0" shrinkToFit="0" vertical="bottom" wrapText="0"/>
    </xf>
    <xf borderId="0" fillId="26" fontId="5" numFmtId="0" xfId="0" applyAlignment="1" applyFill="1" applyFont="1">
      <alignment readingOrder="0" shrinkToFit="0" vertical="bottom" wrapText="0"/>
    </xf>
    <xf borderId="0" fillId="26" fontId="5" numFmtId="0" xfId="0" applyAlignment="1" applyFont="1">
      <alignment horizontal="right" readingOrder="0" shrinkToFit="0" vertical="bottom" wrapText="0"/>
    </xf>
    <xf borderId="0" fillId="27" fontId="5" numFmtId="0" xfId="0" applyAlignment="1" applyFill="1" applyFont="1">
      <alignment readingOrder="0" shrinkToFit="0" vertical="bottom" wrapText="0"/>
    </xf>
    <xf borderId="0" fillId="27" fontId="5" numFmtId="0" xfId="0" applyAlignment="1" applyFont="1">
      <alignment horizontal="right" readingOrder="0" shrinkToFit="0" vertical="bottom" wrapText="0"/>
    </xf>
    <xf borderId="0" fillId="28" fontId="5" numFmtId="0" xfId="0" applyAlignment="1" applyFill="1" applyFont="1">
      <alignment readingOrder="0" shrinkToFit="0" vertical="bottom" wrapText="0"/>
    </xf>
    <xf borderId="0" fillId="28" fontId="5" numFmtId="0" xfId="0" applyAlignment="1" applyFont="1">
      <alignment horizontal="right" readingOrder="0" shrinkToFit="0" vertical="bottom" wrapText="0"/>
    </xf>
    <xf borderId="0" fillId="29" fontId="5" numFmtId="0" xfId="0" applyAlignment="1" applyFill="1" applyFont="1">
      <alignment readingOrder="0" shrinkToFit="0" vertical="bottom" wrapText="0"/>
    </xf>
    <xf borderId="0" fillId="29" fontId="5" numFmtId="0" xfId="0" applyAlignment="1" applyFont="1">
      <alignment horizontal="right" readingOrder="0" shrinkToFit="0" vertical="bottom" wrapText="0"/>
    </xf>
    <xf borderId="0" fillId="5" fontId="5" numFmtId="0" xfId="0" applyAlignment="1" applyFont="1">
      <alignment horizontal="right" readingOrder="0" shrinkToFit="0" vertical="bottom" wrapText="0"/>
    </xf>
    <xf borderId="0" fillId="7" fontId="26" numFmtId="0" xfId="0" applyAlignment="1" applyFont="1">
      <alignment horizontal="center" readingOrder="0" shrinkToFit="0" vertical="bottom" wrapText="0"/>
    </xf>
    <xf borderId="0" fillId="7" fontId="1" numFmtId="0" xfId="0" applyAlignment="1" applyFont="1">
      <alignment horizontal="center" readingOrder="0" shrinkToFit="0" vertical="bottom" wrapText="0"/>
    </xf>
    <xf borderId="0" fillId="7" fontId="28" numFmtId="0" xfId="0" applyAlignment="1" applyFont="1">
      <alignment horizontal="center" readingOrder="0"/>
    </xf>
    <xf borderId="0" fillId="22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29" numFmtId="168" xfId="0" applyAlignment="1" applyFont="1" applyNumberFormat="1">
      <alignment horizontal="center"/>
    </xf>
    <xf borderId="0" fillId="30" fontId="1" numFmtId="0" xfId="0" applyAlignment="1" applyFill="1" applyFont="1">
      <alignment horizontal="left" readingOrder="0" shrinkToFit="0" vertical="top" wrapText="0"/>
    </xf>
    <xf borderId="0" fillId="31" fontId="1" numFmtId="0" xfId="0" applyAlignment="1" applyFill="1" applyFont="1">
      <alignment horizontal="left" readingOrder="0" shrinkToFit="0" vertical="top" wrapText="0"/>
    </xf>
    <xf borderId="0" fillId="23" fontId="1" numFmtId="0" xfId="0" applyAlignment="1" applyFont="1">
      <alignment horizontal="left" readingOrder="0" shrinkToFit="0" vertical="top" wrapText="0"/>
    </xf>
    <xf borderId="0" fillId="32" fontId="1" numFmtId="0" xfId="0" applyAlignment="1" applyFill="1" applyFont="1">
      <alignment horizontal="left" readingOrder="0" shrinkToFit="0" vertical="top" wrapText="0"/>
    </xf>
    <xf borderId="0" fillId="29" fontId="1" numFmtId="0" xfId="0" applyAlignment="1" applyFont="1">
      <alignment horizontal="left" readingOrder="0" shrinkToFit="0" vertical="top" wrapText="0"/>
    </xf>
    <xf borderId="0" fillId="33" fontId="1" numFmtId="0" xfId="0" applyAlignment="1" applyFill="1" applyFont="1">
      <alignment horizontal="left" readingOrder="0" shrinkToFit="0" vertical="top" wrapText="0"/>
    </xf>
    <xf borderId="0" fillId="34" fontId="1" numFmtId="0" xfId="0" applyAlignment="1" applyFill="1" applyFont="1">
      <alignment horizontal="left" readingOrder="0" shrinkToFit="0" vertical="top" wrapText="0"/>
    </xf>
    <xf borderId="67" fillId="35" fontId="6" numFmtId="0" xfId="0" applyAlignment="1" applyBorder="1" applyFill="1" applyFont="1">
      <alignment horizontal="center" readingOrder="0"/>
    </xf>
    <xf borderId="40" fillId="35" fontId="6" numFmtId="0" xfId="0" applyAlignment="1" applyBorder="1" applyFont="1">
      <alignment horizontal="center" readingOrder="0"/>
    </xf>
    <xf borderId="59" fillId="35" fontId="6" numFmtId="0" xfId="0" applyAlignment="1" applyBorder="1" applyFont="1">
      <alignment horizontal="center" readingOrder="0"/>
    </xf>
    <xf borderId="68" fillId="35" fontId="6" numFmtId="0" xfId="0" applyAlignment="1" applyBorder="1" applyFont="1">
      <alignment horizontal="center" readingOrder="0"/>
    </xf>
    <xf borderId="62" fillId="36" fontId="7" numFmtId="0" xfId="0" applyBorder="1" applyFill="1" applyFont="1"/>
    <xf borderId="14" fillId="36" fontId="7" numFmtId="0" xfId="0" applyBorder="1" applyFont="1"/>
    <xf borderId="8" fillId="0" fontId="6" numFmtId="0" xfId="0" applyAlignment="1" applyBorder="1" applyFont="1">
      <alignment horizontal="left" readingOrder="0"/>
    </xf>
    <xf borderId="46" fillId="37" fontId="7" numFmtId="9" xfId="0" applyAlignment="1" applyBorder="1" applyFill="1" applyFont="1" applyNumberFormat="1">
      <alignment horizontal="left"/>
    </xf>
    <xf borderId="11" fillId="37" fontId="7" numFmtId="0" xfId="0" applyAlignment="1" applyBorder="1" applyFont="1">
      <alignment horizontal="left"/>
    </xf>
    <xf borderId="45" fillId="0" fontId="6" numFmtId="0" xfId="0" applyAlignment="1" applyBorder="1" applyFont="1">
      <alignment horizontal="right" readingOrder="0"/>
    </xf>
    <xf borderId="46" fillId="37" fontId="7" numFmtId="10" xfId="0" applyBorder="1" applyFont="1" applyNumberFormat="1"/>
    <xf borderId="11" fillId="37" fontId="7" numFmtId="10" xfId="0" applyBorder="1" applyFont="1" applyNumberFormat="1"/>
    <xf borderId="48" fillId="35" fontId="6" numFmtId="0" xfId="0" applyAlignment="1" applyBorder="1" applyFont="1">
      <alignment horizontal="center" readingOrder="0"/>
    </xf>
    <xf borderId="46" fillId="38" fontId="7" numFmtId="0" xfId="0" applyBorder="1" applyFill="1" applyFont="1"/>
    <xf borderId="11" fillId="38" fontId="7" numFmtId="0" xfId="0" applyBorder="1" applyFont="1"/>
    <xf borderId="46" fillId="37" fontId="7" numFmtId="10" xfId="0" applyAlignment="1" applyBorder="1" applyFont="1" applyNumberFormat="1">
      <alignment horizontal="right"/>
    </xf>
    <xf borderId="11" fillId="37" fontId="7" numFmtId="10" xfId="0" applyAlignment="1" applyBorder="1" applyFont="1" applyNumberFormat="1">
      <alignment horizontal="right"/>
    </xf>
    <xf borderId="46" fillId="13" fontId="7" numFmtId="0" xfId="0" applyBorder="1" applyFont="1"/>
    <xf borderId="11" fillId="13" fontId="7" numFmtId="0" xfId="0" applyBorder="1" applyFont="1"/>
    <xf borderId="46" fillId="37" fontId="7" numFmtId="10" xfId="0" applyAlignment="1" applyBorder="1" applyFont="1" applyNumberFormat="1">
      <alignment horizontal="left"/>
    </xf>
    <xf borderId="46" fillId="37" fontId="7" numFmtId="0" xfId="0" applyAlignment="1" applyBorder="1" applyFont="1">
      <alignment horizontal="left"/>
    </xf>
    <xf borderId="48" fillId="35" fontId="6" numFmtId="0" xfId="0" applyAlignment="1" applyBorder="1" applyFont="1">
      <alignment horizontal="left" readingOrder="0"/>
    </xf>
    <xf borderId="46" fillId="13" fontId="7" numFmtId="0" xfId="0" applyAlignment="1" applyBorder="1" applyFont="1">
      <alignment horizontal="left"/>
    </xf>
    <xf borderId="11" fillId="13" fontId="7" numFmtId="0" xfId="0" applyAlignment="1" applyBorder="1" applyFont="1">
      <alignment horizontal="left"/>
    </xf>
    <xf borderId="48" fillId="0" fontId="6" numFmtId="0" xfId="0" applyAlignment="1" applyBorder="1" applyFont="1">
      <alignment horizontal="right" readingOrder="0"/>
    </xf>
    <xf borderId="49" fillId="37" fontId="7" numFmtId="10" xfId="0" applyBorder="1" applyFont="1" applyNumberFormat="1"/>
    <xf borderId="26" fillId="37" fontId="7" numFmtId="10" xfId="0" applyBorder="1" applyFont="1" applyNumberFormat="1"/>
    <xf borderId="1" fillId="10" fontId="10" numFmtId="10" xfId="0" applyAlignment="1" applyBorder="1" applyFont="1" applyNumberFormat="1">
      <alignment horizontal="right" readingOrder="0" shrinkToFit="0" vertical="bottom" wrapText="0"/>
    </xf>
    <xf borderId="13" fillId="10" fontId="10" numFmtId="10" xfId="0" applyAlignment="1" applyBorder="1" applyFont="1" applyNumberFormat="1">
      <alignment horizontal="right" readingOrder="0" shrinkToFit="0" vertical="bottom" wrapText="0"/>
    </xf>
    <xf borderId="1" fillId="0" fontId="10" numFmtId="0" xfId="0" applyAlignment="1" applyBorder="1" applyFont="1">
      <alignment shrinkToFit="0" vertical="bottom" wrapText="0"/>
    </xf>
    <xf borderId="0" fillId="17" fontId="30" numFmtId="0" xfId="0" applyAlignment="1" applyFont="1">
      <alignment readingOrder="0" shrinkToFit="0" wrapText="0"/>
    </xf>
    <xf borderId="0" fillId="17" fontId="5" numFmtId="0" xfId="0" applyAlignment="1" applyFont="1">
      <alignment shrinkToFit="0" wrapText="0"/>
    </xf>
    <xf borderId="0" fillId="13" fontId="5" numFmtId="0" xfId="0" applyAlignment="1" applyFont="1">
      <alignment shrinkToFit="0" vertical="bottom" wrapText="0"/>
    </xf>
    <xf borderId="52" fillId="13" fontId="5" numFmtId="0" xfId="0" applyAlignment="1" applyBorder="1" applyFont="1">
      <alignment shrinkToFit="0" wrapText="0"/>
    </xf>
    <xf borderId="32" fillId="13" fontId="5" numFmtId="0" xfId="0" applyAlignment="1" applyBorder="1" applyFont="1">
      <alignment readingOrder="0" shrinkToFit="0" wrapText="0"/>
    </xf>
    <xf borderId="0" fillId="39" fontId="5" numFmtId="0" xfId="0" applyAlignment="1" applyFill="1" applyFont="1">
      <alignment readingOrder="0" shrinkToFit="0" wrapText="0"/>
    </xf>
    <xf borderId="0" fillId="39" fontId="5" numFmtId="9" xfId="0" applyAlignment="1" applyFont="1" applyNumberFormat="1">
      <alignment horizontal="right" readingOrder="0" shrinkToFit="0" wrapText="0"/>
    </xf>
    <xf borderId="69" fillId="39" fontId="5" numFmtId="9" xfId="0" applyAlignment="1" applyBorder="1" applyFont="1" applyNumberFormat="1">
      <alignment horizontal="right" readingOrder="0" shrinkToFit="0" wrapText="0"/>
    </xf>
    <xf borderId="0" fillId="9" fontId="5" numFmtId="0" xfId="0" applyAlignment="1" applyFont="1">
      <alignment readingOrder="0" shrinkToFit="0" wrapText="0"/>
    </xf>
    <xf borderId="0" fillId="9" fontId="5" numFmtId="9" xfId="0" applyAlignment="1" applyFont="1" applyNumberFormat="1">
      <alignment horizontal="right" readingOrder="0" shrinkToFit="0" wrapText="0"/>
    </xf>
    <xf borderId="32" fillId="39" fontId="5" numFmtId="9" xfId="0" applyAlignment="1" applyBorder="1" applyFont="1" applyNumberFormat="1">
      <alignment horizontal="right" readingOrder="0" shrinkToFit="0" wrapText="0"/>
    </xf>
    <xf borderId="0" fillId="11" fontId="5" numFmtId="0" xfId="0" applyAlignment="1" applyFont="1">
      <alignment readingOrder="0" shrinkToFit="0" wrapText="0"/>
    </xf>
    <xf borderId="0" fillId="11" fontId="5" numFmtId="9" xfId="0" applyAlignment="1" applyFont="1" applyNumberFormat="1">
      <alignment horizontal="right" readingOrder="0" shrinkToFit="0" wrapText="0"/>
    </xf>
    <xf borderId="0" fillId="40" fontId="5" numFmtId="0" xfId="0" applyAlignment="1" applyFill="1" applyFont="1">
      <alignment readingOrder="0" shrinkToFit="0" wrapText="0"/>
    </xf>
    <xf borderId="0" fillId="40" fontId="5" numFmtId="9" xfId="0" applyAlignment="1" applyFont="1" applyNumberFormat="1">
      <alignment horizontal="right" readingOrder="0" shrinkToFit="0" wrapText="0"/>
    </xf>
    <xf borderId="38" fillId="39" fontId="5" numFmtId="9" xfId="0" applyAlignment="1" applyBorder="1" applyFont="1" applyNumberFormat="1">
      <alignment horizontal="right" readingOrder="0" shrinkToFit="0" wrapText="0"/>
    </xf>
    <xf borderId="0" fillId="41" fontId="12" numFmtId="0" xfId="0" applyAlignment="1" applyFill="1" applyFont="1">
      <alignment readingOrder="0" shrinkToFit="0" vertical="bottom" wrapText="0"/>
    </xf>
    <xf borderId="58" fillId="41" fontId="1" numFmtId="0" xfId="0" applyAlignment="1" applyBorder="1" applyFont="1">
      <alignment horizontal="center" readingOrder="0" shrinkToFit="0" wrapText="0"/>
    </xf>
    <xf borderId="70" fillId="41" fontId="1" numFmtId="0" xfId="0" applyAlignment="1" applyBorder="1" applyFont="1">
      <alignment horizontal="right" readingOrder="0" shrinkToFit="0" vertical="bottom" wrapText="0"/>
    </xf>
    <xf borderId="71" fillId="41" fontId="1" numFmtId="0" xfId="0" applyAlignment="1" applyBorder="1" applyFont="1">
      <alignment horizontal="right" readingOrder="0" shrinkToFit="0" vertical="bottom" wrapText="0"/>
    </xf>
    <xf borderId="6" fillId="41" fontId="1" numFmtId="0" xfId="0" applyAlignment="1" applyBorder="1" applyFont="1">
      <alignment horizontal="right" readingOrder="0" shrinkToFit="0" vertical="bottom" wrapText="0"/>
    </xf>
    <xf borderId="4" fillId="41" fontId="1" numFmtId="0" xfId="0" applyAlignment="1" applyBorder="1" applyFont="1">
      <alignment readingOrder="0" shrinkToFit="0" vertical="bottom" wrapText="0"/>
    </xf>
    <xf borderId="72" fillId="41" fontId="1" numFmtId="0" xfId="0" applyAlignment="1" applyBorder="1" applyFont="1">
      <alignment readingOrder="0" shrinkToFit="0" vertical="bottom" wrapText="0"/>
    </xf>
    <xf borderId="62" fillId="6" fontId="1" numFmtId="9" xfId="0" applyAlignment="1" applyBorder="1" applyFont="1" applyNumberFormat="1">
      <alignment horizontal="center" readingOrder="0" shrinkToFit="0" vertical="bottom" wrapText="0"/>
    </xf>
    <xf borderId="73" fillId="6" fontId="1" numFmtId="9" xfId="0" applyAlignment="1" applyBorder="1" applyFont="1" applyNumberFormat="1">
      <alignment horizontal="center" readingOrder="0" shrinkToFit="0" vertical="bottom" wrapText="0"/>
    </xf>
    <xf borderId="74" fillId="6" fontId="1" numFmtId="9" xfId="0" applyAlignment="1" applyBorder="1" applyFont="1" applyNumberFormat="1">
      <alignment horizontal="center" readingOrder="0" shrinkToFit="0" vertical="bottom" wrapText="0"/>
    </xf>
    <xf borderId="11" fillId="6" fontId="1" numFmtId="9" xfId="0" applyAlignment="1" applyBorder="1" applyFont="1" applyNumberFormat="1">
      <alignment horizontal="center" readingOrder="0" shrinkToFit="0" vertical="bottom" wrapText="0"/>
    </xf>
    <xf borderId="45" fillId="41" fontId="1" numFmtId="0" xfId="0" applyAlignment="1" applyBorder="1" applyFont="1">
      <alignment readingOrder="0" shrinkToFit="0" vertical="bottom" wrapText="0"/>
    </xf>
    <xf borderId="75" fillId="6" fontId="1" numFmtId="9" xfId="0" applyAlignment="1" applyBorder="1" applyFont="1" applyNumberFormat="1">
      <alignment horizontal="center" readingOrder="0" shrinkToFit="0" vertical="bottom" wrapText="0"/>
    </xf>
    <xf borderId="14" fillId="6" fontId="1" numFmtId="9" xfId="0" applyAlignment="1" applyBorder="1" applyFont="1" applyNumberFormat="1">
      <alignment horizontal="center" readingOrder="0" shrinkToFit="0" vertical="bottom" wrapText="0"/>
    </xf>
    <xf borderId="8" fillId="41" fontId="1" numFmtId="0" xfId="0" applyAlignment="1" applyBorder="1" applyFont="1">
      <alignment readingOrder="0" shrinkToFit="0" vertical="bottom" wrapText="0"/>
    </xf>
    <xf borderId="10" fillId="6" fontId="1" numFmtId="9" xfId="0" applyAlignment="1" applyBorder="1" applyFont="1" applyNumberFormat="1">
      <alignment horizontal="center" readingOrder="0" shrinkToFit="0" vertical="bottom" wrapText="0"/>
    </xf>
    <xf borderId="68" fillId="41" fontId="1" numFmtId="0" xfId="0" applyAlignment="1" applyBorder="1" applyFont="1">
      <alignment readingOrder="0" shrinkToFit="0" vertical="bottom" wrapText="0"/>
    </xf>
    <xf borderId="28" fillId="6" fontId="1" numFmtId="9" xfId="0" applyAlignment="1" applyBorder="1" applyFont="1" applyNumberFormat="1">
      <alignment horizontal="center" readingOrder="0" shrinkToFit="0" vertical="bottom" wrapText="0"/>
    </xf>
    <xf borderId="26" fillId="6" fontId="1" numFmtId="9" xfId="0" applyAlignment="1" applyBorder="1" applyFont="1" applyNumberFormat="1">
      <alignment horizontal="center" readingOrder="0" shrinkToFit="0" vertical="bottom" wrapText="0"/>
    </xf>
    <xf borderId="0" fillId="0" fontId="31" numFmtId="0" xfId="0" applyAlignment="1" applyFont="1">
      <alignment readingOrder="0" shrinkToFit="0" vertical="bottom" wrapText="0"/>
    </xf>
    <xf borderId="0" fillId="29" fontId="1" numFmtId="0" xfId="0" applyAlignment="1" applyFont="1">
      <alignment readingOrder="0" shrinkToFit="0" vertical="bottom" wrapText="0"/>
    </xf>
    <xf borderId="0" fillId="29" fontId="1" numFmtId="9" xfId="0" applyAlignment="1" applyFont="1" applyNumberFormat="1">
      <alignment horizontal="right" readingOrder="0" shrinkToFit="0" vertical="bottom" wrapText="0"/>
    </xf>
    <xf borderId="0" fillId="29" fontId="7" numFmtId="9" xfId="0" applyFont="1" applyNumberFormat="1"/>
    <xf borderId="0" fillId="5" fontId="1" numFmtId="0" xfId="0" applyAlignment="1" applyFont="1">
      <alignment readingOrder="0" shrinkToFit="0" vertical="bottom" wrapText="0"/>
    </xf>
    <xf borderId="0" fillId="5" fontId="1" numFmtId="9" xfId="0" applyAlignment="1" applyFont="1" applyNumberFormat="1">
      <alignment horizontal="right" readingOrder="0" shrinkToFit="0" vertical="bottom" wrapText="0"/>
    </xf>
    <xf borderId="0" fillId="5" fontId="7" numFmtId="9" xfId="0" applyFont="1" applyNumberFormat="1"/>
    <xf borderId="0" fillId="23" fontId="1" numFmtId="0" xfId="0" applyAlignment="1" applyFont="1">
      <alignment readingOrder="0" shrinkToFit="0" vertical="bottom" wrapText="0"/>
    </xf>
    <xf borderId="0" fillId="23" fontId="1" numFmtId="9" xfId="0" applyAlignment="1" applyFont="1" applyNumberFormat="1">
      <alignment horizontal="right" readingOrder="0" shrinkToFit="0" vertical="bottom" wrapText="0"/>
    </xf>
    <xf borderId="0" fillId="23" fontId="7" numFmtId="9" xfId="0" applyFont="1" applyNumberFormat="1"/>
    <xf borderId="0" fillId="0" fontId="6" numFmtId="0" xfId="0" applyAlignment="1" applyFont="1">
      <alignment horizontal="center" readingOrder="0"/>
    </xf>
    <xf borderId="76" fillId="42" fontId="6" numFmtId="0" xfId="0" applyAlignment="1" applyBorder="1" applyFill="1" applyFont="1">
      <alignment horizontal="center" readingOrder="0"/>
    </xf>
    <xf borderId="77" fillId="42" fontId="6" numFmtId="0" xfId="0" applyAlignment="1" applyBorder="1" applyFont="1">
      <alignment horizontal="center" readingOrder="0"/>
    </xf>
    <xf borderId="19" fillId="42" fontId="6" numFmtId="0" xfId="0" applyAlignment="1" applyBorder="1" applyFont="1">
      <alignment horizontal="center" readingOrder="0"/>
    </xf>
    <xf borderId="78" fillId="42" fontId="6" numFmtId="0" xfId="0" applyAlignment="1" applyBorder="1" applyFont="1">
      <alignment horizontal="center" readingOrder="0"/>
    </xf>
    <xf borderId="79" fillId="0" fontId="7" numFmtId="0" xfId="0" applyBorder="1" applyFont="1"/>
    <xf borderId="80" fillId="0" fontId="7" numFmtId="0" xfId="0" applyBorder="1" applyFont="1"/>
    <xf borderId="81" fillId="0" fontId="6" numFmtId="0" xfId="0" applyAlignment="1" applyBorder="1" applyFont="1">
      <alignment readingOrder="0"/>
    </xf>
    <xf borderId="82" fillId="43" fontId="7" numFmtId="9" xfId="0" applyAlignment="1" applyBorder="1" applyFill="1" applyFont="1" applyNumberFormat="1">
      <alignment horizontal="left"/>
    </xf>
    <xf borderId="83" fillId="43" fontId="7" numFmtId="0" xfId="0" applyAlignment="1" applyBorder="1" applyFont="1">
      <alignment horizontal="left"/>
    </xf>
    <xf borderId="84" fillId="0" fontId="6" numFmtId="0" xfId="0" applyAlignment="1" applyBorder="1" applyFont="1">
      <alignment horizontal="right" readingOrder="0"/>
    </xf>
    <xf borderId="82" fillId="43" fontId="7" numFmtId="9" xfId="0" applyBorder="1" applyFont="1" applyNumberFormat="1"/>
    <xf borderId="83" fillId="43" fontId="7" numFmtId="9" xfId="0" applyBorder="1" applyFont="1" applyNumberFormat="1"/>
    <xf borderId="85" fillId="42" fontId="6" numFmtId="0" xfId="0" applyAlignment="1" applyBorder="1" applyFont="1">
      <alignment horizontal="center" readingOrder="0"/>
    </xf>
    <xf borderId="82" fillId="0" fontId="7" numFmtId="0" xfId="0" applyBorder="1" applyFont="1"/>
    <xf borderId="83" fillId="0" fontId="7" numFmtId="0" xfId="0" applyBorder="1" applyFont="1"/>
    <xf borderId="82" fillId="44" fontId="7" numFmtId="0" xfId="0" applyAlignment="1" applyBorder="1" applyFill="1" applyFont="1">
      <alignment horizontal="left"/>
    </xf>
    <xf borderId="83" fillId="44" fontId="7" numFmtId="0" xfId="0" applyAlignment="1" applyBorder="1" applyFont="1">
      <alignment horizontal="left"/>
    </xf>
    <xf borderId="82" fillId="44" fontId="7" numFmtId="9" xfId="0" applyBorder="1" applyFont="1" applyNumberFormat="1"/>
    <xf borderId="83" fillId="44" fontId="7" numFmtId="9" xfId="0" applyBorder="1" applyFont="1" applyNumberFormat="1"/>
    <xf borderId="82" fillId="43" fontId="7" numFmtId="0" xfId="0" applyAlignment="1" applyBorder="1" applyFont="1">
      <alignment horizontal="left"/>
    </xf>
    <xf borderId="82" fillId="44" fontId="7" numFmtId="0" xfId="0" applyBorder="1" applyFont="1"/>
    <xf borderId="83" fillId="44" fontId="7" numFmtId="0" xfId="0" applyBorder="1" applyFont="1"/>
    <xf borderId="85" fillId="0" fontId="6" numFmtId="0" xfId="0" applyAlignment="1" applyBorder="1" applyFont="1">
      <alignment horizontal="right" readingOrder="0"/>
    </xf>
    <xf borderId="86" fillId="44" fontId="7" numFmtId="9" xfId="0" applyBorder="1" applyFont="1" applyNumberFormat="1"/>
    <xf borderId="87" fillId="44" fontId="7" numFmtId="9" xfId="0" applyBorder="1" applyFont="1" applyNumberFormat="1"/>
    <xf borderId="0" fillId="7" fontId="10" numFmtId="0" xfId="0" applyAlignment="1" applyFont="1">
      <alignment shrinkToFit="0" vertical="bottom" wrapText="0"/>
    </xf>
    <xf borderId="24" fillId="10" fontId="10" numFmtId="10" xfId="0" applyAlignment="1" applyBorder="1" applyFont="1" applyNumberFormat="1">
      <alignment horizontal="right" readingOrder="0" shrinkToFit="0" vertical="bottom" wrapText="0"/>
    </xf>
    <xf borderId="28" fillId="7" fontId="10" numFmtId="0" xfId="0" applyAlignment="1" applyBorder="1" applyFont="1">
      <alignment shrinkToFit="0" vertical="bottom" wrapText="0"/>
    </xf>
    <xf borderId="27" fillId="0" fontId="10" numFmtId="0" xfId="0" applyAlignment="1" applyBorder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5" fontId="6" numFmtId="0" xfId="0" applyAlignment="1" applyFont="1">
      <alignment horizontal="right" readingOrder="0"/>
    </xf>
    <xf borderId="0" fillId="6" fontId="1" numFmtId="0" xfId="0" applyAlignment="1" applyFont="1">
      <alignment readingOrder="0" shrinkToFit="0" vertical="bottom" wrapText="0"/>
    </xf>
    <xf borderId="0" fillId="6" fontId="1" numFmtId="0" xfId="0" applyAlignment="1" applyFont="1">
      <alignment horizontal="right" readingOrder="0" shrinkToFit="0" vertical="bottom" wrapText="0"/>
    </xf>
    <xf borderId="0" fillId="6" fontId="7" numFmtId="0" xfId="0" applyFont="1"/>
    <xf borderId="0" fillId="14" fontId="1" numFmtId="0" xfId="0" applyAlignment="1" applyFont="1">
      <alignment readingOrder="0" shrinkToFit="0" vertical="bottom" wrapText="0"/>
    </xf>
    <xf borderId="0" fillId="14" fontId="1" numFmtId="0" xfId="0" applyAlignment="1" applyFont="1">
      <alignment horizontal="right" readingOrder="0" shrinkToFit="0" vertical="bottom" wrapText="0"/>
    </xf>
    <xf borderId="0" fillId="14" fontId="7" numFmtId="0" xfId="0" applyFont="1"/>
    <xf borderId="0" fillId="45" fontId="1" numFmtId="0" xfId="0" applyAlignment="1" applyFill="1" applyFont="1">
      <alignment readingOrder="0" shrinkToFit="0" vertical="bottom" wrapText="0"/>
    </xf>
    <xf borderId="0" fillId="45" fontId="1" numFmtId="0" xfId="0" applyAlignment="1" applyFont="1">
      <alignment horizontal="right" readingOrder="0" shrinkToFit="0" vertical="bottom" wrapText="0"/>
    </xf>
    <xf borderId="0" fillId="45" fontId="7" numFmtId="0" xfId="0" applyFont="1"/>
    <xf borderId="0" fillId="23" fontId="1" numFmtId="0" xfId="0" applyAlignment="1" applyFont="1">
      <alignment horizontal="right" readingOrder="0" shrinkToFit="0" vertical="bottom" wrapText="0"/>
    </xf>
    <xf borderId="0" fillId="23" fontId="7" numFmtId="0" xfId="0" applyFont="1"/>
    <xf borderId="0" fillId="28" fontId="30" numFmtId="0" xfId="0" applyAlignment="1" applyFont="1">
      <alignment readingOrder="0" shrinkToFit="0" vertical="bottom" wrapText="0"/>
    </xf>
    <xf borderId="0" fillId="39" fontId="5" numFmtId="0" xfId="0" applyAlignment="1" applyFont="1">
      <alignment readingOrder="0" shrinkToFit="0" vertical="bottom" wrapText="0"/>
    </xf>
    <xf borderId="0" fillId="39" fontId="5" numFmtId="0" xfId="0" applyAlignment="1" applyFont="1">
      <alignment horizontal="right" readingOrder="0" shrinkToFit="0" vertical="bottom" wrapText="0"/>
    </xf>
    <xf borderId="76" fillId="2" fontId="12" numFmtId="0" xfId="0" applyAlignment="1" applyBorder="1" applyFont="1">
      <alignment readingOrder="0" shrinkToFit="0" vertical="bottom" wrapText="0"/>
    </xf>
    <xf borderId="58" fillId="2" fontId="1" numFmtId="0" xfId="0" applyAlignment="1" applyBorder="1" applyFont="1">
      <alignment horizontal="center" readingOrder="0" shrinkToFit="0" wrapText="0"/>
    </xf>
    <xf borderId="40" fillId="2" fontId="1" numFmtId="0" xfId="0" applyAlignment="1" applyBorder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3" fillId="2" fontId="1" numFmtId="0" xfId="0" applyAlignment="1" applyBorder="1" applyFont="1">
      <alignment horizontal="center" readingOrder="0" shrinkToFit="0" vertical="bottom" wrapText="0"/>
    </xf>
    <xf borderId="59" fillId="2" fontId="1" numFmtId="0" xfId="0" applyAlignment="1" applyBorder="1" applyFont="1">
      <alignment horizontal="center" readingOrder="0" shrinkToFit="0" wrapText="0"/>
    </xf>
    <xf borderId="9" fillId="6" fontId="1" numFmtId="0" xfId="0" applyAlignment="1" applyBorder="1" applyFont="1">
      <alignment horizontal="center" readingOrder="0" shrinkToFit="0" vertical="bottom" wrapText="0"/>
    </xf>
    <xf borderId="10" fillId="6" fontId="1" numFmtId="0" xfId="0" applyAlignment="1" applyBorder="1" applyFont="1">
      <alignment horizontal="center" readingOrder="0" shrinkToFit="0" vertical="bottom" wrapText="0"/>
    </xf>
    <xf borderId="68" fillId="2" fontId="1" numFmtId="0" xfId="0" applyAlignment="1" applyBorder="1" applyFont="1">
      <alignment readingOrder="0" shrinkToFit="0" vertical="bottom" wrapText="0"/>
    </xf>
    <xf borderId="25" fillId="6" fontId="1" numFmtId="0" xfId="0" applyAlignment="1" applyBorder="1" applyFont="1">
      <alignment horizontal="center" readingOrder="0" shrinkToFit="0" vertical="bottom" wrapText="0"/>
    </xf>
    <xf borderId="28" fillId="6" fontId="1" numFmtId="0" xfId="0" applyAlignment="1" applyBorder="1" applyFont="1">
      <alignment horizontal="center" readingOrder="0" shrinkToFit="0" vertical="bottom" wrapText="0"/>
    </xf>
    <xf borderId="26" fillId="6" fontId="1" numFmtId="0" xfId="0" applyAlignment="1" applyBorder="1" applyFont="1">
      <alignment horizontal="right" readingOrder="0" shrinkToFit="0" vertical="bottom" wrapText="0"/>
    </xf>
    <xf borderId="88" fillId="46" fontId="6" numFmtId="0" xfId="0" applyAlignment="1" applyBorder="1" applyFill="1" applyFont="1">
      <alignment horizontal="center" readingOrder="0"/>
    </xf>
    <xf borderId="6" fillId="46" fontId="6" numFmtId="0" xfId="0" applyAlignment="1" applyBorder="1" applyFont="1">
      <alignment horizontal="center" readingOrder="0"/>
    </xf>
    <xf borderId="7" fillId="46" fontId="6" numFmtId="0" xfId="0" applyAlignment="1" applyBorder="1" applyFont="1">
      <alignment horizontal="center" readingOrder="0"/>
    </xf>
    <xf borderId="78" fillId="46" fontId="6" numFmtId="0" xfId="0" applyAlignment="1" applyBorder="1" applyFont="1">
      <alignment horizontal="center" readingOrder="0"/>
    </xf>
    <xf borderId="82" fillId="47" fontId="7" numFmtId="0" xfId="0" applyAlignment="1" applyBorder="1" applyFill="1" applyFont="1">
      <alignment horizontal="left"/>
    </xf>
    <xf borderId="83" fillId="47" fontId="7" numFmtId="0" xfId="0" applyAlignment="1" applyBorder="1" applyFont="1">
      <alignment horizontal="left"/>
    </xf>
    <xf borderId="82" fillId="47" fontId="7" numFmtId="167" xfId="0" applyBorder="1" applyFont="1" applyNumberFormat="1"/>
    <xf borderId="83" fillId="47" fontId="7" numFmtId="167" xfId="0" applyBorder="1" applyFont="1" applyNumberFormat="1"/>
    <xf borderId="85" fillId="46" fontId="6" numFmtId="0" xfId="0" applyAlignment="1" applyBorder="1" applyFont="1">
      <alignment horizontal="center" readingOrder="0"/>
    </xf>
    <xf borderId="0" fillId="0" fontId="7" numFmtId="0" xfId="0" applyAlignment="1" applyFont="1">
      <alignment horizontal="left"/>
    </xf>
    <xf borderId="82" fillId="47" fontId="7" numFmtId="1" xfId="0" applyBorder="1" applyFont="1" applyNumberFormat="1"/>
    <xf borderId="83" fillId="47" fontId="7" numFmtId="1" xfId="0" applyBorder="1" applyFont="1" applyNumberFormat="1"/>
    <xf borderId="82" fillId="47" fontId="7" numFmtId="169" xfId="0" applyBorder="1" applyFont="1" applyNumberFormat="1"/>
    <xf borderId="83" fillId="47" fontId="7" numFmtId="169" xfId="0" applyBorder="1" applyFont="1" applyNumberFormat="1"/>
    <xf borderId="82" fillId="47" fontId="7" numFmtId="1" xfId="0" applyAlignment="1" applyBorder="1" applyFont="1" applyNumberFormat="1">
      <alignment horizontal="left"/>
    </xf>
    <xf borderId="83" fillId="47" fontId="7" numFmtId="1" xfId="0" applyAlignment="1" applyBorder="1" applyFont="1" applyNumberFormat="1">
      <alignment horizontal="left"/>
    </xf>
    <xf borderId="86" fillId="47" fontId="7" numFmtId="1" xfId="0" applyBorder="1" applyFont="1" applyNumberFormat="1"/>
    <xf borderId="87" fillId="47" fontId="7" numFmtId="1" xfId="0" applyBorder="1" applyFont="1" applyNumberFormat="1"/>
    <xf borderId="76" fillId="4" fontId="9" numFmtId="0" xfId="0" applyAlignment="1" applyBorder="1" applyFont="1">
      <alignment horizontal="center" readingOrder="0" shrinkToFit="0" vertical="bottom" wrapText="0"/>
    </xf>
    <xf borderId="77" fillId="0" fontId="3" numFmtId="0" xfId="0" applyBorder="1" applyFont="1"/>
    <xf borderId="19" fillId="0" fontId="3" numFmtId="0" xfId="0" applyBorder="1" applyFont="1"/>
    <xf borderId="0" fillId="0" fontId="10" numFmtId="0" xfId="0" applyAlignment="1" applyFont="1">
      <alignment shrinkToFit="0" vertical="bottom" wrapText="0"/>
    </xf>
    <xf borderId="76" fillId="10" fontId="9" numFmtId="0" xfId="0" applyAlignment="1" applyBorder="1" applyFont="1">
      <alignment horizontal="center" readingOrder="0" shrinkToFit="0" vertical="bottom" wrapText="0"/>
    </xf>
    <xf borderId="89" fillId="7" fontId="8" numFmtId="0" xfId="0" applyAlignment="1" applyBorder="1" applyFont="1">
      <alignment horizontal="center" readingOrder="0"/>
    </xf>
    <xf borderId="57" fillId="7" fontId="9" numFmtId="170" xfId="0" applyAlignment="1" applyBorder="1" applyFont="1" applyNumberFormat="1">
      <alignment horizontal="center" readingOrder="0" shrinkToFit="0" wrapText="0"/>
    </xf>
    <xf borderId="57" fillId="7" fontId="10" numFmtId="0" xfId="0" applyAlignment="1" applyBorder="1" applyFont="1">
      <alignment readingOrder="0" shrinkToFit="0" vertical="bottom" wrapText="0"/>
    </xf>
    <xf borderId="24" fillId="10" fontId="4" numFmtId="0" xfId="0" applyAlignment="1" applyBorder="1" applyFont="1">
      <alignment horizontal="center" readingOrder="0" shrinkToFit="0" wrapText="0"/>
    </xf>
    <xf borderId="13" fillId="10" fontId="10" numFmtId="0" xfId="0" applyAlignment="1" applyBorder="1" applyFont="1">
      <alignment horizontal="center" readingOrder="0" shrinkToFit="0" wrapText="0"/>
    </xf>
    <xf borderId="13" fillId="10" fontId="5" numFmtId="0" xfId="0" applyAlignment="1" applyBorder="1" applyFont="1">
      <alignment horizontal="center" readingOrder="0" shrinkToFit="0" wrapText="0"/>
    </xf>
    <xf borderId="13" fillId="0" fontId="10" numFmtId="0" xfId="0" applyAlignment="1" applyBorder="1" applyFont="1">
      <alignment horizontal="right" readingOrder="0" shrinkToFit="0" vertical="bottom" wrapText="0"/>
    </xf>
    <xf borderId="1" fillId="0" fontId="3" numFmtId="0" xfId="0" applyBorder="1" applyFont="1"/>
    <xf borderId="13" fillId="0" fontId="10" numFmtId="0" xfId="0" applyAlignment="1" applyBorder="1" applyFont="1">
      <alignment readingOrder="0" shrinkToFit="0" vertical="bottom" wrapText="0"/>
    </xf>
    <xf borderId="24" fillId="10" fontId="5" numFmtId="0" xfId="0" applyAlignment="1" applyBorder="1" applyFont="1">
      <alignment readingOrder="0" shrinkToFit="0" vertical="bottom" wrapText="0"/>
    </xf>
    <xf borderId="13" fillId="0" fontId="5" numFmtId="0" xfId="0" applyAlignment="1" applyBorder="1" applyFont="1">
      <alignment horizontal="right"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22" fillId="10" fontId="5" numFmtId="0" xfId="0" applyAlignment="1" applyBorder="1" applyFont="1">
      <alignment readingOrder="0" shrinkToFit="0" vertical="bottom" wrapText="0"/>
    </xf>
    <xf borderId="1" fillId="0" fontId="5" numFmtId="4" xfId="0" applyAlignment="1" applyBorder="1" applyFont="1" applyNumberForma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5" fillId="6" fontId="9" numFmtId="0" xfId="0" applyAlignment="1" applyBorder="1" applyFont="1">
      <alignment horizontal="center" readingOrder="0" shrinkToFit="0" vertical="bottom" wrapText="0"/>
    </xf>
    <xf borderId="76" fillId="21" fontId="9" numFmtId="0" xfId="0" applyAlignment="1" applyBorder="1" applyFont="1">
      <alignment horizontal="center" readingOrder="0" shrinkToFit="0" vertical="bottom" wrapText="0"/>
    </xf>
    <xf borderId="5" fillId="6" fontId="10" numFmtId="0" xfId="0" applyAlignment="1" applyBorder="1" applyFont="1">
      <alignment shrinkToFit="0" vertical="bottom" wrapText="0"/>
    </xf>
    <xf borderId="58" fillId="6" fontId="10" numFmtId="0" xfId="0" applyAlignment="1" applyBorder="1" applyFont="1">
      <alignment horizontal="center" readingOrder="0" shrinkToFit="0" wrapText="0"/>
    </xf>
    <xf borderId="40" fillId="6" fontId="10" numFmtId="0" xfId="0" applyAlignment="1" applyBorder="1" applyFont="1">
      <alignment horizontal="center" readingOrder="0" shrinkToFit="0" wrapText="0"/>
    </xf>
    <xf borderId="2" fillId="6" fontId="10" numFmtId="0" xfId="0" applyAlignment="1" applyBorder="1" applyFont="1">
      <alignment horizontal="center" readingOrder="0" shrinkToFit="0" wrapText="0"/>
    </xf>
    <xf borderId="3" fillId="6" fontId="10" numFmtId="0" xfId="0" applyAlignment="1" applyBorder="1" applyFont="1">
      <alignment horizontal="center" readingOrder="0" shrinkToFit="0" wrapText="0"/>
    </xf>
    <xf borderId="59" fillId="6" fontId="10" numFmtId="0" xfId="0" applyAlignment="1" applyBorder="1" applyFont="1">
      <alignment horizontal="center" readingOrder="0" shrinkToFit="0" wrapText="0"/>
    </xf>
    <xf borderId="22" fillId="21" fontId="10" numFmtId="0" xfId="0" applyAlignment="1" applyBorder="1" applyFont="1">
      <alignment horizontal="center" readingOrder="0" shrinkToFit="0" wrapText="0"/>
    </xf>
    <xf borderId="1" fillId="21" fontId="10" numFmtId="0" xfId="0" applyAlignment="1" applyBorder="1" applyFont="1">
      <alignment horizontal="center" readingOrder="0" shrinkToFit="0" wrapText="0"/>
    </xf>
    <xf borderId="45" fillId="6" fontId="10" numFmtId="0" xfId="0" applyAlignment="1" applyBorder="1" applyFont="1">
      <alignment readingOrder="0" shrinkToFit="0" vertical="bottom" wrapText="0"/>
    </xf>
    <xf borderId="46" fillId="0" fontId="12" numFmtId="171" xfId="0" applyAlignment="1" applyBorder="1" applyFont="1" applyNumberFormat="1">
      <alignment horizontal="right" readingOrder="0" shrinkToFit="0" vertical="bottom" wrapText="0"/>
    </xf>
    <xf borderId="20" fillId="0" fontId="12" numFmtId="171" xfId="0" applyAlignment="1" applyBorder="1" applyFont="1" applyNumberFormat="1">
      <alignment horizontal="right" readingOrder="0" shrinkToFit="0" vertical="bottom" wrapText="0"/>
    </xf>
    <xf borderId="75" fillId="0" fontId="12" numFmtId="171" xfId="0" applyAlignment="1" applyBorder="1" applyFont="1" applyNumberFormat="1">
      <alignment horizontal="right" readingOrder="0" shrinkToFit="0" vertical="bottom" wrapText="0"/>
    </xf>
    <xf borderId="11" fillId="0" fontId="10" numFmtId="172" xfId="0" applyAlignment="1" applyBorder="1" applyFont="1" applyNumberFormat="1">
      <alignment horizontal="right" readingOrder="0" shrinkToFit="0" vertical="bottom" wrapText="0"/>
    </xf>
    <xf borderId="0" fillId="0" fontId="10" numFmtId="172" xfId="0" applyAlignment="1" applyFont="1" applyNumberFormat="1">
      <alignment shrinkToFit="0" vertical="bottom" wrapText="0"/>
    </xf>
    <xf borderId="24" fillId="21" fontId="10" numFmtId="0" xfId="0" applyAlignment="1" applyBorder="1" applyFont="1">
      <alignment readingOrder="0" shrinkToFit="0" vertical="bottom" wrapText="0"/>
    </xf>
    <xf borderId="13" fillId="0" fontId="10" numFmtId="173" xfId="0" applyAlignment="1" applyBorder="1" applyFont="1" applyNumberFormat="1">
      <alignment horizontal="right" readingOrder="0" shrinkToFit="0" vertical="bottom" wrapText="0"/>
    </xf>
    <xf borderId="0" fillId="0" fontId="10" numFmtId="4" xfId="0" applyAlignment="1" applyFont="1" applyNumberFormat="1">
      <alignment shrinkToFit="0" vertical="bottom" wrapText="0"/>
    </xf>
    <xf borderId="8" fillId="6" fontId="10" numFmtId="0" xfId="0" applyAlignment="1" applyBorder="1" applyFont="1">
      <alignment readingOrder="0" shrinkToFit="0" vertical="bottom" wrapText="0"/>
    </xf>
    <xf borderId="62" fillId="0" fontId="12" numFmtId="171" xfId="0" applyAlignment="1" applyBorder="1" applyFont="1" applyNumberFormat="1">
      <alignment horizontal="right" readingOrder="0" shrinkToFit="0" vertical="bottom" wrapText="0"/>
    </xf>
    <xf borderId="9" fillId="0" fontId="12" numFmtId="171" xfId="0" applyAlignment="1" applyBorder="1" applyFont="1" applyNumberFormat="1">
      <alignment horizontal="right" readingOrder="0" shrinkToFit="0" vertical="bottom" wrapText="0"/>
    </xf>
    <xf borderId="10" fillId="0" fontId="12" numFmtId="171" xfId="0" applyAlignment="1" applyBorder="1" applyFont="1" applyNumberFormat="1">
      <alignment horizontal="right" readingOrder="0" shrinkToFit="0" vertical="bottom" wrapText="0"/>
    </xf>
    <xf borderId="14" fillId="0" fontId="10" numFmtId="172" xfId="0" applyAlignment="1" applyBorder="1" applyFont="1" applyNumberFormat="1">
      <alignment horizontal="right" readingOrder="0" shrinkToFit="0" vertical="bottom" wrapText="0"/>
    </xf>
    <xf borderId="22" fillId="21" fontId="10" numFmtId="0" xfId="0" applyAlignment="1" applyBorder="1" applyFont="1">
      <alignment readingOrder="0" shrinkToFit="0" vertical="bottom" wrapText="0"/>
    </xf>
    <xf borderId="1" fillId="0" fontId="10" numFmtId="4" xfId="0" applyAlignment="1" applyBorder="1" applyFont="1" applyNumberFormat="1">
      <alignment readingOrder="0" shrinkToFit="0" vertical="bottom" wrapText="0"/>
    </xf>
    <xf borderId="1" fillId="0" fontId="26" numFmtId="4" xfId="0" applyAlignment="1" applyBorder="1" applyFont="1" applyNumberFormat="1">
      <alignment readingOrder="0" shrinkToFit="0" vertical="bottom" wrapText="0"/>
    </xf>
    <xf borderId="0" fillId="0" fontId="32" numFmtId="171" xfId="0" applyAlignment="1" applyFont="1" applyNumberFormat="1">
      <alignment horizontal="right" readingOrder="0" shrinkToFit="0" vertical="bottom" wrapText="0"/>
    </xf>
    <xf borderId="68" fillId="6" fontId="10" numFmtId="0" xfId="0" applyAlignment="1" applyBorder="1" applyFont="1">
      <alignment readingOrder="0" shrinkToFit="0" vertical="bottom" wrapText="0"/>
    </xf>
    <xf borderId="25" fillId="0" fontId="10" numFmtId="0" xfId="0" applyAlignment="1" applyBorder="1" applyFont="1">
      <alignment horizontal="right" readingOrder="0" shrinkToFit="0" vertical="bottom" wrapText="0"/>
    </xf>
    <xf borderId="28" fillId="0" fontId="10" numFmtId="0" xfId="0" applyAlignment="1" applyBorder="1" applyFont="1">
      <alignment horizontal="right" readingOrder="0" shrinkToFit="0" vertical="bottom" wrapText="0"/>
    </xf>
    <xf borderId="26" fillId="0" fontId="10" numFmtId="0" xfId="0" applyAlignment="1" applyBorder="1" applyFont="1">
      <alignment horizontal="right" readingOrder="0" shrinkToFit="0" vertical="bottom" wrapText="0"/>
    </xf>
    <xf borderId="76" fillId="23" fontId="9" numFmtId="0" xfId="0" applyAlignment="1" applyBorder="1" applyFont="1">
      <alignment horizontal="center" readingOrder="0" shrinkToFit="0" vertical="bottom" wrapText="0"/>
    </xf>
    <xf borderId="22" fillId="8" fontId="26" numFmtId="0" xfId="0" applyAlignment="1" applyBorder="1" applyFont="1">
      <alignment horizontal="center" readingOrder="0" shrinkToFit="0" vertical="bottom" wrapText="0"/>
    </xf>
    <xf borderId="1" fillId="8" fontId="26" numFmtId="0" xfId="0" applyAlignment="1" applyBorder="1" applyFont="1">
      <alignment horizontal="center" readingOrder="0" shrinkToFit="0" vertical="bottom" wrapText="0"/>
    </xf>
    <xf borderId="22" fillId="23" fontId="27" numFmtId="0" xfId="0" applyAlignment="1" applyBorder="1" applyFont="1">
      <alignment horizontal="center" readingOrder="0" shrinkToFit="0" vertical="bottom" wrapText="0"/>
    </xf>
    <xf borderId="13" fillId="0" fontId="10" numFmtId="0" xfId="0" applyAlignment="1" applyBorder="1" applyFont="1">
      <alignment shrinkToFit="0" vertical="bottom" wrapText="0"/>
    </xf>
    <xf borderId="24" fillId="0" fontId="26" numFmtId="0" xfId="0" applyAlignment="1" applyBorder="1" applyFont="1">
      <alignment readingOrder="0" shrinkToFit="0" vertical="bottom" wrapText="0"/>
    </xf>
    <xf borderId="13" fillId="23" fontId="10" numFmtId="0" xfId="0" applyAlignment="1" applyBorder="1" applyFont="1">
      <alignment horizontal="right" readingOrder="0" shrinkToFit="0" vertical="bottom" wrapText="0"/>
    </xf>
    <xf borderId="24" fillId="0" fontId="26" numFmtId="0" xfId="0" applyAlignment="1" applyBorder="1" applyFont="1">
      <alignment horizontal="right" readingOrder="0" shrinkToFit="0" vertical="bottom" wrapText="0"/>
    </xf>
    <xf borderId="13" fillId="8" fontId="10" numFmtId="4" xfId="0" applyAlignment="1" applyBorder="1" applyFont="1" applyNumberFormat="1">
      <alignment horizontal="right" readingOrder="0" shrinkToFit="0" vertical="bottom" wrapText="0"/>
    </xf>
    <xf borderId="13" fillId="23" fontId="10" numFmtId="0" xfId="0" applyAlignment="1" applyBorder="1" applyFont="1">
      <alignment readingOrder="0" shrinkToFit="0" vertical="bottom" wrapText="0"/>
    </xf>
    <xf borderId="22" fillId="0" fontId="26" numFmtId="0" xfId="0" applyAlignment="1" applyBorder="1" applyFont="1">
      <alignment horizontal="right" readingOrder="0" shrinkToFit="0" vertical="bottom" wrapText="0"/>
    </xf>
    <xf borderId="1" fillId="8" fontId="32" numFmtId="172" xfId="0" applyAlignment="1" applyBorder="1" applyFont="1" applyNumberFormat="1">
      <alignment readingOrder="0" shrinkToFit="0" vertical="bottom" wrapText="0"/>
    </xf>
    <xf borderId="1" fillId="8" fontId="3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common size ratio-style">
      <tableStyleElement dxfId="1" type="headerRow"/>
      <tableStyleElement dxfId="2" type="firstRowStripe"/>
      <tableStyleElement dxfId="3" type="secondRowStripe"/>
    </tableStyle>
    <tableStyle count="3" pivot="0" name="common size ratio-style 2">
      <tableStyleElement dxfId="1" type="headerRow"/>
      <tableStyleElement dxfId="2" type="firstRowStripe"/>
      <tableStyleElement dxfId="3" type="secondRowStripe"/>
    </tableStyle>
    <tableStyle count="3" pivot="0" name="liquidity rati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H104:I107" displayName="LINDT" name="LINDT" id="1">
  <tableColumns count="2">
    <tableColumn name="MAIN COMPANY(LINDT)" id="1"/>
    <tableColumn name="VALUES" id="2"/>
  </tableColumns>
  <tableStyleInfo name="common size ratio-style" showColumnStripes="0" showFirstColumn="1" showLastColumn="1" showRowStripes="1"/>
</table>
</file>

<file path=xl/tables/table2.xml><?xml version="1.0" encoding="utf-8"?>
<table xmlns="http://schemas.openxmlformats.org/spreadsheetml/2006/main" ref="E105:F107" displayName="COMPETITORS" name="COMPETITORS" id="2">
  <tableColumns count="2">
    <tableColumn name="Catagory" id="1"/>
    <tableColumn name="AVERAGE ratio for COMPETITORS" id="2"/>
  </tableColumns>
  <tableStyleInfo name="common size ratio-style 2" showColumnStripes="0" showFirstColumn="1" showLastColumn="1" showRowStripes="1"/>
</table>
</file>

<file path=xl/tables/table3.xml><?xml version="1.0" encoding="utf-8"?>
<table xmlns="http://schemas.openxmlformats.org/spreadsheetml/2006/main" ref="D17:F21" displayName="LIQUIDITY_" name="LIQUIDITY_" id="3">
  <tableColumns count="3">
    <tableColumn name="Catagory" id="1"/>
    <tableColumn name="COMPETITORS" id="2"/>
    <tableColumn name="MAIN COMAPNY" id="3"/>
  </tableColumns>
  <tableStyleInfo name="liquidity rat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22"/>
    <col customWidth="1" min="2" max="4" width="8.33"/>
    <col customWidth="1" min="5" max="5" width="42.89"/>
    <col customWidth="1" min="6" max="6" width="36.22"/>
    <col customWidth="1" min="7" max="7" width="11.67"/>
    <col customWidth="1" min="8" max="8" width="25.33"/>
    <col customWidth="1" min="9" max="9" width="15.78"/>
    <col customWidth="1" min="10" max="10" width="10.11"/>
    <col customWidth="1" min="11" max="11" width="9.11"/>
    <col customWidth="1" min="12" max="12" width="9.78"/>
    <col customWidth="1" min="13" max="13" width="12.33"/>
    <col customWidth="1" min="14" max="14" width="10.22"/>
    <col customWidth="1" min="15" max="15" width="10.11"/>
    <col customWidth="1" min="16" max="16" width="9.22"/>
    <col customWidth="1" min="17" max="17" width="15.33"/>
    <col customWidth="1" min="18" max="18" width="12.67"/>
    <col customWidth="1" min="19" max="19" width="8.33"/>
    <col customWidth="1" min="20" max="20" width="3.89"/>
    <col customWidth="1" min="21" max="21" width="27.89"/>
    <col customWidth="1" min="22" max="33" width="8.33"/>
  </cols>
  <sheetData>
    <row r="1" ht="15.75" customHeight="1">
      <c r="A1" s="1"/>
      <c r="B1" s="2">
        <v>2023.0</v>
      </c>
      <c r="C1" s="3">
        <v>2022.0</v>
      </c>
      <c r="D1" s="4" t="s">
        <v>0</v>
      </c>
      <c r="F1" s="5" t="s">
        <v>1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U1" s="8" t="s">
        <v>2</v>
      </c>
      <c r="V1" s="9">
        <v>45291.0</v>
      </c>
      <c r="W1" s="10">
        <v>20.23</v>
      </c>
      <c r="X1" s="9">
        <v>44926.0</v>
      </c>
      <c r="Y1" s="10">
        <v>20.22</v>
      </c>
      <c r="Z1" s="9">
        <v>44561.0</v>
      </c>
      <c r="AA1" s="10">
        <v>20.21</v>
      </c>
    </row>
    <row r="2" ht="15.75" customHeight="1">
      <c r="A2" s="11" t="s">
        <v>3</v>
      </c>
      <c r="B2" s="12">
        <v>0.52</v>
      </c>
      <c r="C2" s="13">
        <v>0.51</v>
      </c>
      <c r="D2" s="14">
        <v>0.52</v>
      </c>
      <c r="F2" s="15"/>
      <c r="R2" s="16"/>
      <c r="U2" s="17" t="s">
        <v>4</v>
      </c>
      <c r="V2" s="18" t="s">
        <v>5</v>
      </c>
      <c r="W2" s="19">
        <v>1.0</v>
      </c>
      <c r="X2" s="18" t="s">
        <v>6</v>
      </c>
      <c r="Y2" s="19">
        <v>1.0</v>
      </c>
      <c r="Z2" s="18" t="s">
        <v>7</v>
      </c>
      <c r="AA2" s="19">
        <v>1.0</v>
      </c>
      <c r="AC2" s="20" t="s">
        <v>8</v>
      </c>
    </row>
    <row r="3" ht="15.75" customHeight="1">
      <c r="A3" s="11" t="s">
        <v>9</v>
      </c>
      <c r="B3" s="12">
        <v>0.49</v>
      </c>
      <c r="C3" s="13">
        <v>0.51</v>
      </c>
      <c r="D3" s="21">
        <v>0.5</v>
      </c>
      <c r="U3" s="17" t="s">
        <v>10</v>
      </c>
      <c r="V3" s="18">
        <v>518.991</v>
      </c>
      <c r="W3" s="19">
        <v>0.06</v>
      </c>
      <c r="X3" s="18">
        <v>251.986</v>
      </c>
      <c r="Y3" s="19">
        <v>0.04</v>
      </c>
      <c r="Z3" s="18">
        <v>178.231</v>
      </c>
      <c r="AA3" s="19">
        <v>0.03</v>
      </c>
      <c r="AC3" s="20" t="s">
        <v>11</v>
      </c>
      <c r="AE3" s="22">
        <f>AVERAGE(W19,Y19)</f>
        <v>0.08</v>
      </c>
    </row>
    <row r="4" ht="15.75" customHeight="1">
      <c r="A4" s="23" t="s">
        <v>12</v>
      </c>
      <c r="B4" s="24">
        <v>0.51</v>
      </c>
      <c r="C4" s="24">
        <v>0.49</v>
      </c>
      <c r="D4" s="25">
        <v>0.5</v>
      </c>
      <c r="F4" s="26" t="s">
        <v>13</v>
      </c>
      <c r="G4" s="27" t="s">
        <v>14</v>
      </c>
      <c r="H4" s="27" t="s">
        <v>15</v>
      </c>
      <c r="I4" s="27" t="s">
        <v>16</v>
      </c>
      <c r="J4" s="27" t="s">
        <v>17</v>
      </c>
      <c r="K4" s="27" t="s">
        <v>18</v>
      </c>
      <c r="L4" s="27" t="s">
        <v>19</v>
      </c>
      <c r="M4" s="27" t="s">
        <v>20</v>
      </c>
      <c r="N4" s="27" t="s">
        <v>21</v>
      </c>
      <c r="O4" s="27" t="s">
        <v>22</v>
      </c>
      <c r="P4" s="27" t="s">
        <v>23</v>
      </c>
      <c r="Q4" s="28" t="s">
        <v>24</v>
      </c>
      <c r="R4" s="29" t="s">
        <v>25</v>
      </c>
      <c r="U4" s="17" t="s">
        <v>26</v>
      </c>
      <c r="V4" s="18">
        <v>-448.737</v>
      </c>
      <c r="W4" s="19">
        <v>-0.05</v>
      </c>
      <c r="X4" s="18">
        <v>252.894</v>
      </c>
      <c r="Y4" s="19">
        <v>0.04</v>
      </c>
      <c r="Z4" s="18">
        <v>243.531</v>
      </c>
      <c r="AA4" s="19">
        <v>0.04</v>
      </c>
      <c r="AC4" s="20" t="s">
        <v>27</v>
      </c>
      <c r="AE4" s="22">
        <f>AVERAGE(W5,Y5)</f>
        <v>0.955</v>
      </c>
    </row>
    <row r="5" ht="15.75" customHeight="1">
      <c r="A5" s="30" t="s">
        <v>28</v>
      </c>
      <c r="B5" s="31">
        <v>0.76</v>
      </c>
      <c r="C5" s="31">
        <v>0.73</v>
      </c>
      <c r="D5" s="32">
        <v>0.72</v>
      </c>
      <c r="F5" s="33"/>
      <c r="G5" s="34" t="s">
        <v>29</v>
      </c>
      <c r="H5" s="34" t="s">
        <v>29</v>
      </c>
      <c r="I5" s="34" t="s">
        <v>29</v>
      </c>
      <c r="J5" s="34" t="s">
        <v>29</v>
      </c>
      <c r="K5" s="34" t="s">
        <v>29</v>
      </c>
      <c r="L5" s="34" t="s">
        <v>29</v>
      </c>
      <c r="M5" s="34" t="s">
        <v>29</v>
      </c>
      <c r="N5" s="34" t="s">
        <v>29</v>
      </c>
      <c r="O5" s="34" t="s">
        <v>29</v>
      </c>
      <c r="P5" s="34" t="s">
        <v>29</v>
      </c>
      <c r="Q5" s="35"/>
      <c r="R5" s="35"/>
      <c r="U5" s="36" t="s">
        <v>30</v>
      </c>
      <c r="V5" s="37" t="s">
        <v>31</v>
      </c>
      <c r="W5" s="38">
        <v>0.99</v>
      </c>
      <c r="X5" s="37" t="s">
        <v>32</v>
      </c>
      <c r="Y5" s="38">
        <v>0.92</v>
      </c>
      <c r="Z5" s="37" t="s">
        <v>33</v>
      </c>
      <c r="AA5" s="38">
        <v>0.93</v>
      </c>
    </row>
    <row r="6" ht="15.75" customHeight="1">
      <c r="A6" s="39" t="s">
        <v>34</v>
      </c>
      <c r="B6" s="40">
        <v>0.87</v>
      </c>
      <c r="C6" s="40">
        <v>1.04</v>
      </c>
      <c r="D6" s="41">
        <v>1.02</v>
      </c>
      <c r="F6" s="42" t="s">
        <v>35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4"/>
      <c r="R6" s="45"/>
      <c r="U6" s="17" t="s">
        <v>36</v>
      </c>
      <c r="V6" s="18" t="s">
        <v>37</v>
      </c>
      <c r="W6" s="19">
        <v>0.17</v>
      </c>
      <c r="X6" s="18">
        <v>333.196</v>
      </c>
      <c r="Y6" s="19">
        <v>0.05</v>
      </c>
      <c r="Z6" s="18">
        <v>236.871</v>
      </c>
      <c r="AA6" s="19">
        <v>0.04</v>
      </c>
    </row>
    <row r="7" ht="15.75" customHeight="1">
      <c r="A7" s="46" t="s">
        <v>38</v>
      </c>
      <c r="B7" s="47">
        <v>0.1</v>
      </c>
      <c r="C7" s="47">
        <v>0.06</v>
      </c>
      <c r="D7" s="48">
        <v>0.08</v>
      </c>
      <c r="F7" s="49"/>
      <c r="G7" s="43"/>
      <c r="H7" s="43"/>
      <c r="I7" s="43"/>
      <c r="J7" s="43"/>
      <c r="K7" s="43"/>
      <c r="L7" s="43"/>
      <c r="M7" s="43"/>
      <c r="N7" s="43"/>
      <c r="O7" s="43"/>
      <c r="P7" s="43"/>
      <c r="Q7" s="44"/>
      <c r="R7" s="45"/>
      <c r="U7" s="50" t="s">
        <v>39</v>
      </c>
      <c r="V7" s="51" t="s">
        <v>40</v>
      </c>
      <c r="W7" s="52">
        <v>0.47</v>
      </c>
      <c r="X7" s="51" t="s">
        <v>41</v>
      </c>
      <c r="Y7" s="52">
        <v>0.64</v>
      </c>
      <c r="Z7" s="51" t="s">
        <v>42</v>
      </c>
      <c r="AA7" s="52">
        <v>0.62</v>
      </c>
    </row>
    <row r="8" ht="15.75" customHeight="1">
      <c r="A8" s="20"/>
      <c r="F8" s="35"/>
      <c r="G8" s="43"/>
      <c r="H8" s="43"/>
      <c r="I8" s="43"/>
      <c r="J8" s="43"/>
      <c r="K8" s="43"/>
      <c r="L8" s="43"/>
      <c r="M8" s="43"/>
      <c r="N8" s="43"/>
      <c r="O8" s="43"/>
      <c r="P8" s="43"/>
      <c r="Q8" s="44"/>
      <c r="R8" s="45"/>
      <c r="U8" s="17" t="s">
        <v>43</v>
      </c>
      <c r="V8" s="18" t="s">
        <v>44</v>
      </c>
      <c r="W8" s="19">
        <v>0.19</v>
      </c>
      <c r="X8" s="18" t="s">
        <v>45</v>
      </c>
      <c r="Y8" s="19">
        <v>0.27</v>
      </c>
      <c r="Z8" s="18" t="s">
        <v>46</v>
      </c>
      <c r="AA8" s="19">
        <v>0.24</v>
      </c>
    </row>
    <row r="9" ht="15.75" customHeight="1">
      <c r="A9" s="53" t="s">
        <v>47</v>
      </c>
      <c r="F9" s="54" t="s">
        <v>48</v>
      </c>
      <c r="G9" s="55"/>
      <c r="H9" s="55"/>
      <c r="I9" s="55"/>
      <c r="J9" s="55"/>
      <c r="K9" s="55"/>
      <c r="L9" s="55"/>
      <c r="M9" s="55"/>
      <c r="N9" s="55"/>
      <c r="O9" s="55"/>
      <c r="P9" s="56"/>
      <c r="Q9" s="45"/>
      <c r="R9" s="45"/>
      <c r="U9" s="17" t="s">
        <v>49</v>
      </c>
      <c r="V9" s="18">
        <v>417.156</v>
      </c>
      <c r="W9" s="19">
        <v>0.05</v>
      </c>
      <c r="X9" s="18">
        <v>370.556</v>
      </c>
      <c r="Y9" s="19">
        <v>0.06</v>
      </c>
      <c r="Z9" s="18">
        <v>326.243</v>
      </c>
      <c r="AA9" s="19">
        <v>0.06</v>
      </c>
    </row>
    <row r="10" ht="15.75" customHeight="1">
      <c r="F10" s="57" t="s">
        <v>50</v>
      </c>
      <c r="G10" s="58" t="s">
        <v>51</v>
      </c>
      <c r="H10" s="58" t="s">
        <v>52</v>
      </c>
      <c r="I10" s="58" t="s">
        <v>53</v>
      </c>
      <c r="J10" s="58" t="s">
        <v>54</v>
      </c>
      <c r="K10" s="58" t="s">
        <v>55</v>
      </c>
      <c r="L10" s="58" t="s">
        <v>56</v>
      </c>
      <c r="M10" s="58" t="s">
        <v>57</v>
      </c>
      <c r="N10" s="58" t="s">
        <v>58</v>
      </c>
      <c r="O10" s="58" t="s">
        <v>59</v>
      </c>
      <c r="P10" s="58" t="s">
        <v>60</v>
      </c>
      <c r="Q10" s="59" t="s">
        <v>61</v>
      </c>
      <c r="R10" s="60">
        <v>0.43</v>
      </c>
      <c r="U10" s="17" t="s">
        <v>62</v>
      </c>
      <c r="V10" s="18" t="s">
        <v>63</v>
      </c>
      <c r="W10" s="19">
        <v>0.18</v>
      </c>
      <c r="X10" s="18" t="s">
        <v>64</v>
      </c>
      <c r="Y10" s="19">
        <v>0.24</v>
      </c>
      <c r="Z10" s="18" t="s">
        <v>65</v>
      </c>
      <c r="AA10" s="19">
        <v>0.23</v>
      </c>
    </row>
    <row r="11" ht="15.75" customHeight="1">
      <c r="F11" s="61" t="s">
        <v>66</v>
      </c>
      <c r="G11" s="62" t="s">
        <v>67</v>
      </c>
      <c r="H11" s="62" t="s">
        <v>68</v>
      </c>
      <c r="I11" s="62" t="s">
        <v>69</v>
      </c>
      <c r="J11" s="62" t="s">
        <v>70</v>
      </c>
      <c r="K11" s="62" t="s">
        <v>71</v>
      </c>
      <c r="L11" s="62" t="s">
        <v>72</v>
      </c>
      <c r="M11" s="62" t="s">
        <v>73</v>
      </c>
      <c r="N11" s="62" t="s">
        <v>74</v>
      </c>
      <c r="O11" s="62" t="s">
        <v>75</v>
      </c>
      <c r="P11" s="62" t="s">
        <v>76</v>
      </c>
      <c r="Q11" s="63" t="s">
        <v>77</v>
      </c>
      <c r="R11" s="64">
        <v>0.02</v>
      </c>
      <c r="U11" s="17" t="s">
        <v>78</v>
      </c>
      <c r="V11" s="18">
        <v>422.737</v>
      </c>
      <c r="W11" s="19">
        <v>0.05</v>
      </c>
      <c r="X11" s="18">
        <v>442.319</v>
      </c>
      <c r="Y11" s="19">
        <v>0.07</v>
      </c>
      <c r="Z11" s="18">
        <v>410.182</v>
      </c>
      <c r="AA11" s="19">
        <v>0.07</v>
      </c>
    </row>
    <row r="12" ht="15.75" customHeight="1">
      <c r="F12" s="61" t="s">
        <v>79</v>
      </c>
      <c r="G12" s="62" t="s">
        <v>80</v>
      </c>
      <c r="H12" s="62" t="s">
        <v>81</v>
      </c>
      <c r="I12" s="62" t="s">
        <v>82</v>
      </c>
      <c r="J12" s="62" t="s">
        <v>83</v>
      </c>
      <c r="K12" s="62" t="s">
        <v>84</v>
      </c>
      <c r="L12" s="62" t="s">
        <v>85</v>
      </c>
      <c r="M12" s="62" t="s">
        <v>86</v>
      </c>
      <c r="N12" s="62" t="s">
        <v>87</v>
      </c>
      <c r="O12" s="62" t="s">
        <v>88</v>
      </c>
      <c r="P12" s="62" t="s">
        <v>89</v>
      </c>
      <c r="Q12" s="63" t="s">
        <v>90</v>
      </c>
      <c r="R12" s="64">
        <v>0.36</v>
      </c>
      <c r="U12" s="17" t="s">
        <v>91</v>
      </c>
      <c r="V12" s="18">
        <v>104.29</v>
      </c>
      <c r="W12" s="19">
        <v>0.01</v>
      </c>
      <c r="X12" s="18">
        <v>60.499</v>
      </c>
      <c r="Y12" s="19">
        <v>0.01</v>
      </c>
      <c r="Z12" s="18">
        <v>105.612</v>
      </c>
      <c r="AA12" s="19">
        <v>0.02</v>
      </c>
    </row>
    <row r="13" ht="15.75" customHeight="1">
      <c r="F13" s="61" t="s">
        <v>92</v>
      </c>
      <c r="G13" s="62" t="s">
        <v>93</v>
      </c>
      <c r="H13" s="62" t="s">
        <v>93</v>
      </c>
      <c r="I13" s="62" t="s">
        <v>94</v>
      </c>
      <c r="J13" s="62" t="s">
        <v>95</v>
      </c>
      <c r="K13" s="62" t="s">
        <v>96</v>
      </c>
      <c r="L13" s="62" t="s">
        <v>97</v>
      </c>
      <c r="M13" s="62" t="s">
        <v>98</v>
      </c>
      <c r="N13" s="62" t="s">
        <v>99</v>
      </c>
      <c r="O13" s="62" t="s">
        <v>100</v>
      </c>
      <c r="P13" s="62" t="s">
        <v>101</v>
      </c>
      <c r="Q13" s="65" t="s">
        <v>102</v>
      </c>
      <c r="R13" s="64">
        <v>0.05</v>
      </c>
      <c r="U13" s="66" t="s">
        <v>103</v>
      </c>
      <c r="V13" s="67">
        <v>29.889</v>
      </c>
      <c r="W13" s="67" t="s">
        <v>104</v>
      </c>
      <c r="X13" s="67">
        <v>-677.0</v>
      </c>
      <c r="Y13" s="67" t="s">
        <v>105</v>
      </c>
      <c r="Z13" s="67">
        <v>7.678</v>
      </c>
      <c r="AA13" s="68">
        <v>0.0</v>
      </c>
    </row>
    <row r="14" ht="15.75" customHeight="1">
      <c r="F14" s="57" t="s">
        <v>106</v>
      </c>
      <c r="G14" s="58" t="s">
        <v>107</v>
      </c>
      <c r="H14" s="58" t="s">
        <v>108</v>
      </c>
      <c r="I14" s="58" t="s">
        <v>109</v>
      </c>
      <c r="J14" s="58" t="s">
        <v>110</v>
      </c>
      <c r="K14" s="58" t="s">
        <v>111</v>
      </c>
      <c r="L14" s="58" t="s">
        <v>112</v>
      </c>
      <c r="M14" s="58" t="s">
        <v>113</v>
      </c>
      <c r="N14" s="58" t="s">
        <v>114</v>
      </c>
      <c r="O14" s="58" t="s">
        <v>115</v>
      </c>
      <c r="P14" s="58" t="s">
        <v>116</v>
      </c>
      <c r="Q14" s="65" t="s">
        <v>117</v>
      </c>
      <c r="R14" s="64">
        <v>0.57</v>
      </c>
      <c r="U14" s="17" t="s">
        <v>118</v>
      </c>
      <c r="V14" s="18">
        <v>29.889</v>
      </c>
      <c r="W14" s="19">
        <v>0.0</v>
      </c>
      <c r="X14" s="18">
        <v>-677.0</v>
      </c>
      <c r="Y14" s="19">
        <v>0.0</v>
      </c>
      <c r="Z14" s="18">
        <v>7.678</v>
      </c>
      <c r="AA14" s="19">
        <v>0.0</v>
      </c>
    </row>
    <row r="15" ht="15.75" customHeight="1">
      <c r="F15" s="61" t="s">
        <v>119</v>
      </c>
      <c r="G15" s="62" t="s">
        <v>120</v>
      </c>
      <c r="H15" s="62" t="s">
        <v>121</v>
      </c>
      <c r="I15" s="62" t="s">
        <v>122</v>
      </c>
      <c r="J15" s="62" t="s">
        <v>123</v>
      </c>
      <c r="K15" s="62" t="s">
        <v>124</v>
      </c>
      <c r="L15" s="62" t="s">
        <v>125</v>
      </c>
      <c r="M15" s="62" t="s">
        <v>126</v>
      </c>
      <c r="N15" s="62" t="s">
        <v>127</v>
      </c>
      <c r="O15" s="62" t="s">
        <v>128</v>
      </c>
      <c r="P15" s="62" t="s">
        <v>129</v>
      </c>
      <c r="Q15" s="63" t="s">
        <v>130</v>
      </c>
      <c r="R15" s="64">
        <v>0.16</v>
      </c>
      <c r="U15" s="17" t="s">
        <v>131</v>
      </c>
      <c r="V15" s="18">
        <v>0.0</v>
      </c>
      <c r="W15" s="19">
        <v>0.0</v>
      </c>
      <c r="X15" s="18">
        <v>0.0</v>
      </c>
      <c r="Y15" s="19">
        <v>0.0</v>
      </c>
      <c r="Z15" s="18">
        <v>0.0</v>
      </c>
      <c r="AA15" s="19">
        <v>0.0</v>
      </c>
    </row>
    <row r="16" ht="15.75" customHeight="1">
      <c r="F16" s="61" t="s">
        <v>132</v>
      </c>
      <c r="G16" s="62" t="s">
        <v>133</v>
      </c>
      <c r="H16" s="62" t="s">
        <v>134</v>
      </c>
      <c r="I16" s="62" t="s">
        <v>135</v>
      </c>
      <c r="J16" s="62" t="s">
        <v>136</v>
      </c>
      <c r="K16" s="62" t="s">
        <v>57</v>
      </c>
      <c r="L16" s="62" t="s">
        <v>137</v>
      </c>
      <c r="M16" s="62" t="s">
        <v>138</v>
      </c>
      <c r="N16" s="62" t="s">
        <v>139</v>
      </c>
      <c r="O16" s="62" t="s">
        <v>140</v>
      </c>
      <c r="P16" s="62" t="s">
        <v>141</v>
      </c>
      <c r="Q16" s="65" t="s">
        <v>142</v>
      </c>
      <c r="R16" s="64">
        <v>0.4</v>
      </c>
      <c r="U16" s="17" t="s">
        <v>143</v>
      </c>
      <c r="V16" s="18">
        <v>0.0</v>
      </c>
      <c r="W16" s="19">
        <v>0.0</v>
      </c>
      <c r="X16" s="18">
        <v>0.0</v>
      </c>
      <c r="Y16" s="19">
        <v>0.0</v>
      </c>
      <c r="Z16" s="18">
        <v>0.0</v>
      </c>
      <c r="AA16" s="19">
        <v>0.0</v>
      </c>
    </row>
    <row r="17" ht="15.75" customHeight="1">
      <c r="F17" s="61" t="s">
        <v>144</v>
      </c>
      <c r="G17" s="62" t="s">
        <v>145</v>
      </c>
      <c r="H17" s="62" t="s">
        <v>146</v>
      </c>
      <c r="I17" s="62" t="s">
        <v>147</v>
      </c>
      <c r="J17" s="62" t="s">
        <v>148</v>
      </c>
      <c r="K17" s="62" t="s">
        <v>149</v>
      </c>
      <c r="L17" s="62" t="s">
        <v>150</v>
      </c>
      <c r="M17" s="62" t="s">
        <v>150</v>
      </c>
      <c r="N17" s="62" t="s">
        <v>151</v>
      </c>
      <c r="O17" s="62" t="s">
        <v>93</v>
      </c>
      <c r="P17" s="62" t="s">
        <v>93</v>
      </c>
      <c r="Q17" s="69"/>
      <c r="R17" s="64">
        <v>0.0</v>
      </c>
      <c r="U17" s="17" t="s">
        <v>152</v>
      </c>
      <c r="V17" s="18" t="s">
        <v>153</v>
      </c>
      <c r="W17" s="19">
        <v>0.18</v>
      </c>
      <c r="X17" s="18">
        <v>332.519</v>
      </c>
      <c r="Y17" s="19">
        <v>0.05</v>
      </c>
      <c r="Z17" s="18">
        <v>244.549</v>
      </c>
      <c r="AA17" s="19">
        <v>0.04</v>
      </c>
    </row>
    <row r="18" ht="15.75" customHeight="1">
      <c r="F18" s="61" t="s">
        <v>154</v>
      </c>
      <c r="G18" s="62" t="s">
        <v>155</v>
      </c>
      <c r="H18" s="62" t="s">
        <v>156</v>
      </c>
      <c r="I18" s="62" t="s">
        <v>157</v>
      </c>
      <c r="J18" s="62" t="s">
        <v>158</v>
      </c>
      <c r="K18" s="62" t="s">
        <v>159</v>
      </c>
      <c r="L18" s="62" t="s">
        <v>157</v>
      </c>
      <c r="M18" s="62" t="s">
        <v>160</v>
      </c>
      <c r="N18" s="62" t="s">
        <v>157</v>
      </c>
      <c r="O18" s="62" t="s">
        <v>157</v>
      </c>
      <c r="P18" s="62" t="s">
        <v>161</v>
      </c>
      <c r="Q18" s="63" t="s">
        <v>162</v>
      </c>
      <c r="R18" s="64">
        <v>0.0</v>
      </c>
      <c r="U18" s="17" t="s">
        <v>163</v>
      </c>
      <c r="V18" s="18">
        <v>451.703</v>
      </c>
      <c r="W18" s="19">
        <v>0.05</v>
      </c>
      <c r="X18" s="18">
        <v>82.277</v>
      </c>
      <c r="Y18" s="19">
        <v>0.01</v>
      </c>
      <c r="Z18" s="18">
        <v>53.464</v>
      </c>
      <c r="AA18" s="19">
        <v>0.01</v>
      </c>
    </row>
    <row r="19" ht="15.75" customHeight="1">
      <c r="F19" s="57" t="s">
        <v>164</v>
      </c>
      <c r="G19" s="58" t="s">
        <v>165</v>
      </c>
      <c r="H19" s="58" t="s">
        <v>166</v>
      </c>
      <c r="I19" s="58" t="s">
        <v>146</v>
      </c>
      <c r="J19" s="58" t="s">
        <v>167</v>
      </c>
      <c r="K19" s="58" t="s">
        <v>168</v>
      </c>
      <c r="L19" s="58" t="s">
        <v>161</v>
      </c>
      <c r="M19" s="58" t="s">
        <v>150</v>
      </c>
      <c r="N19" s="58" t="s">
        <v>168</v>
      </c>
      <c r="O19" s="58" t="s">
        <v>168</v>
      </c>
      <c r="P19" s="58" t="s">
        <v>161</v>
      </c>
      <c r="Q19" s="63" t="s">
        <v>169</v>
      </c>
      <c r="R19" s="64">
        <v>0.0</v>
      </c>
      <c r="U19" s="70" t="s">
        <v>38</v>
      </c>
      <c r="V19" s="71" t="s">
        <v>170</v>
      </c>
      <c r="W19" s="72">
        <v>0.12</v>
      </c>
      <c r="X19" s="71">
        <v>250.242</v>
      </c>
      <c r="Y19" s="72">
        <v>0.04</v>
      </c>
      <c r="Z19" s="71">
        <v>191.085</v>
      </c>
      <c r="AA19" s="72">
        <v>0.03</v>
      </c>
    </row>
    <row r="20" ht="15.75" customHeight="1">
      <c r="F20" s="73" t="s">
        <v>171</v>
      </c>
      <c r="G20" s="74">
        <v>4.63661162E8</v>
      </c>
      <c r="H20" s="74">
        <v>4.40094194E8</v>
      </c>
      <c r="I20" s="74">
        <v>3.78625952E8</v>
      </c>
      <c r="J20" s="74">
        <v>3.49434474E8</v>
      </c>
      <c r="K20" s="74">
        <v>3.22297862E8</v>
      </c>
      <c r="L20" s="74">
        <v>3.0393612E8</v>
      </c>
      <c r="M20" s="74">
        <v>2.9307348E8</v>
      </c>
      <c r="N20" s="74">
        <v>2.75160624E8</v>
      </c>
      <c r="O20" s="74">
        <v>2.34499431E8</v>
      </c>
      <c r="P20" s="74">
        <v>2.28457449E8</v>
      </c>
      <c r="Q20" s="63" t="s">
        <v>172</v>
      </c>
      <c r="R20" s="45"/>
    </row>
    <row r="21" ht="15.75" customHeight="1">
      <c r="F21" s="75"/>
      <c r="G21" s="76">
        <v>1.0</v>
      </c>
      <c r="H21" s="62" t="s">
        <v>173</v>
      </c>
      <c r="I21" s="62" t="s">
        <v>173</v>
      </c>
      <c r="J21" s="62" t="s">
        <v>173</v>
      </c>
      <c r="K21" s="62" t="s">
        <v>173</v>
      </c>
      <c r="L21" s="62" t="s">
        <v>173</v>
      </c>
      <c r="M21" s="62" t="s">
        <v>173</v>
      </c>
      <c r="N21" s="62" t="s">
        <v>173</v>
      </c>
      <c r="O21" s="62" t="s">
        <v>173</v>
      </c>
      <c r="P21" s="62" t="s">
        <v>173</v>
      </c>
      <c r="Q21" s="75"/>
      <c r="R21" s="45"/>
      <c r="V21" s="77" t="s">
        <v>174</v>
      </c>
    </row>
    <row r="22" ht="15.75" customHeight="1">
      <c r="F22" s="54" t="s">
        <v>175</v>
      </c>
      <c r="G22" s="43"/>
      <c r="H22" s="78"/>
      <c r="I22" s="78"/>
      <c r="J22" s="78"/>
      <c r="K22" s="78"/>
      <c r="L22" s="78"/>
      <c r="M22" s="78"/>
      <c r="N22" s="78"/>
      <c r="O22" s="78"/>
      <c r="P22" s="78"/>
      <c r="Q22" s="75"/>
      <c r="R22" s="45"/>
    </row>
    <row r="23" ht="15.75" customHeight="1">
      <c r="F23" s="61" t="s">
        <v>176</v>
      </c>
      <c r="G23" s="62" t="s">
        <v>177</v>
      </c>
      <c r="H23" s="62" t="s">
        <v>178</v>
      </c>
      <c r="I23" s="62" t="s">
        <v>179</v>
      </c>
      <c r="J23" s="62" t="s">
        <v>180</v>
      </c>
      <c r="K23" s="62" t="s">
        <v>181</v>
      </c>
      <c r="L23" s="62" t="s">
        <v>182</v>
      </c>
      <c r="M23" s="62" t="s">
        <v>183</v>
      </c>
      <c r="N23" s="62" t="s">
        <v>184</v>
      </c>
      <c r="O23" s="62" t="s">
        <v>185</v>
      </c>
      <c r="P23" s="62" t="s">
        <v>186</v>
      </c>
      <c r="Q23" s="79" t="s">
        <v>187</v>
      </c>
      <c r="R23" s="60">
        <v>0.51</v>
      </c>
    </row>
    <row r="24" ht="15.75" customHeight="1">
      <c r="F24" s="61" t="s">
        <v>188</v>
      </c>
      <c r="G24" s="62" t="s">
        <v>189</v>
      </c>
      <c r="H24" s="62" t="s">
        <v>190</v>
      </c>
      <c r="I24" s="62" t="s">
        <v>191</v>
      </c>
      <c r="J24" s="62" t="s">
        <v>192</v>
      </c>
      <c r="K24" s="62" t="s">
        <v>193</v>
      </c>
      <c r="L24" s="62" t="s">
        <v>194</v>
      </c>
      <c r="M24" s="62" t="s">
        <v>195</v>
      </c>
      <c r="N24" s="62" t="s">
        <v>196</v>
      </c>
      <c r="O24" s="62" t="s">
        <v>197</v>
      </c>
      <c r="P24" s="62" t="s">
        <v>198</v>
      </c>
      <c r="Q24" s="65" t="s">
        <v>199</v>
      </c>
      <c r="R24" s="64">
        <v>0.07</v>
      </c>
    </row>
    <row r="25" ht="15.75" customHeight="1">
      <c r="F25" s="44"/>
      <c r="G25" s="43"/>
      <c r="H25" s="78"/>
      <c r="I25" s="78"/>
      <c r="J25" s="78"/>
      <c r="K25" s="78"/>
      <c r="L25" s="78"/>
      <c r="M25" s="78"/>
      <c r="N25" s="78"/>
      <c r="O25" s="78"/>
      <c r="P25" s="78"/>
      <c r="Q25" s="44"/>
      <c r="R25" s="45"/>
    </row>
    <row r="26" ht="15.75" customHeight="1">
      <c r="F26" s="54" t="s">
        <v>200</v>
      </c>
      <c r="G26" s="43"/>
      <c r="H26" s="78"/>
      <c r="I26" s="78"/>
      <c r="J26" s="78"/>
      <c r="K26" s="78"/>
      <c r="L26" s="78"/>
      <c r="M26" s="78"/>
      <c r="N26" s="78"/>
      <c r="O26" s="78"/>
      <c r="P26" s="78"/>
      <c r="Q26" s="80"/>
      <c r="R26" s="45"/>
    </row>
    <row r="27" ht="15.75" customHeight="1">
      <c r="F27" s="57" t="s">
        <v>201</v>
      </c>
      <c r="G27" s="58" t="s">
        <v>202</v>
      </c>
      <c r="H27" s="58" t="s">
        <v>203</v>
      </c>
      <c r="I27" s="58" t="s">
        <v>204</v>
      </c>
      <c r="J27" s="58" t="s">
        <v>205</v>
      </c>
      <c r="K27" s="58" t="s">
        <v>206</v>
      </c>
      <c r="L27" s="58" t="s">
        <v>207</v>
      </c>
      <c r="M27" s="58" t="s">
        <v>208</v>
      </c>
      <c r="N27" s="58" t="s">
        <v>209</v>
      </c>
      <c r="O27" s="58" t="s">
        <v>210</v>
      </c>
      <c r="P27" s="58" t="s">
        <v>211</v>
      </c>
      <c r="Q27" s="65" t="s">
        <v>212</v>
      </c>
      <c r="R27" s="60">
        <v>0.39</v>
      </c>
    </row>
    <row r="28" ht="15.75" customHeight="1">
      <c r="F28" s="61" t="s">
        <v>213</v>
      </c>
      <c r="G28" s="62" t="s">
        <v>93</v>
      </c>
      <c r="H28" s="62" t="s">
        <v>93</v>
      </c>
      <c r="I28" s="62" t="s">
        <v>93</v>
      </c>
      <c r="J28" s="62" t="s">
        <v>93</v>
      </c>
      <c r="K28" s="62" t="s">
        <v>93</v>
      </c>
      <c r="L28" s="62" t="s">
        <v>93</v>
      </c>
      <c r="M28" s="62" t="s">
        <v>93</v>
      </c>
      <c r="N28" s="62" t="s">
        <v>93</v>
      </c>
      <c r="O28" s="62" t="s">
        <v>93</v>
      </c>
      <c r="P28" s="62" t="s">
        <v>93</v>
      </c>
      <c r="Q28" s="81"/>
      <c r="R28" s="45"/>
    </row>
    <row r="29" ht="15.75" customHeight="1">
      <c r="E29" s="77" t="s">
        <v>214</v>
      </c>
      <c r="F29" s="61" t="s">
        <v>215</v>
      </c>
      <c r="G29" s="62" t="s">
        <v>202</v>
      </c>
      <c r="H29" s="62" t="s">
        <v>203</v>
      </c>
      <c r="I29" s="62" t="s">
        <v>204</v>
      </c>
      <c r="J29" s="62" t="s">
        <v>205</v>
      </c>
      <c r="K29" s="62" t="s">
        <v>206</v>
      </c>
      <c r="L29" s="62" t="s">
        <v>207</v>
      </c>
      <c r="M29" s="62" t="s">
        <v>208</v>
      </c>
      <c r="N29" s="62" t="s">
        <v>209</v>
      </c>
      <c r="O29" s="62" t="s">
        <v>210</v>
      </c>
      <c r="P29" s="62" t="s">
        <v>211</v>
      </c>
      <c r="Q29" s="79" t="s">
        <v>212</v>
      </c>
      <c r="R29" s="60">
        <v>0.39</v>
      </c>
    </row>
    <row r="30" ht="15.75" customHeight="1">
      <c r="F30" s="61" t="s">
        <v>216</v>
      </c>
      <c r="G30" s="62" t="s">
        <v>217</v>
      </c>
      <c r="H30" s="62" t="s">
        <v>218</v>
      </c>
      <c r="I30" s="62" t="s">
        <v>219</v>
      </c>
      <c r="J30" s="62" t="s">
        <v>220</v>
      </c>
      <c r="K30" s="62" t="s">
        <v>221</v>
      </c>
      <c r="L30" s="62" t="s">
        <v>222</v>
      </c>
      <c r="M30" s="62" t="s">
        <v>223</v>
      </c>
      <c r="N30" s="62" t="s">
        <v>224</v>
      </c>
      <c r="O30" s="62" t="s">
        <v>225</v>
      </c>
      <c r="P30" s="62" t="s">
        <v>226</v>
      </c>
      <c r="Q30" s="65" t="s">
        <v>227</v>
      </c>
      <c r="R30" s="64">
        <v>0.27</v>
      </c>
    </row>
    <row r="31" ht="15.75" customHeight="1">
      <c r="F31" s="61" t="s">
        <v>228</v>
      </c>
      <c r="G31" s="62" t="s">
        <v>229</v>
      </c>
      <c r="H31" s="62" t="s">
        <v>230</v>
      </c>
      <c r="I31" s="62" t="s">
        <v>231</v>
      </c>
      <c r="J31" s="62" t="s">
        <v>232</v>
      </c>
      <c r="K31" s="62" t="s">
        <v>233</v>
      </c>
      <c r="L31" s="62" t="s">
        <v>234</v>
      </c>
      <c r="M31" s="62" t="s">
        <v>235</v>
      </c>
      <c r="N31" s="62" t="s">
        <v>236</v>
      </c>
      <c r="O31" s="62" t="s">
        <v>237</v>
      </c>
      <c r="P31" s="62" t="s">
        <v>238</v>
      </c>
      <c r="Q31" s="65" t="s">
        <v>239</v>
      </c>
      <c r="R31" s="64">
        <v>0.02</v>
      </c>
    </row>
    <row r="32" ht="15.75" customHeight="1">
      <c r="F32" s="61" t="s">
        <v>240</v>
      </c>
      <c r="G32" s="62" t="s">
        <v>241</v>
      </c>
      <c r="H32" s="62" t="s">
        <v>242</v>
      </c>
      <c r="I32" s="62" t="s">
        <v>243</v>
      </c>
      <c r="J32" s="62" t="s">
        <v>244</v>
      </c>
      <c r="K32" s="62" t="s">
        <v>245</v>
      </c>
      <c r="L32" s="62" t="s">
        <v>75</v>
      </c>
      <c r="M32" s="62" t="s">
        <v>241</v>
      </c>
      <c r="N32" s="62" t="s">
        <v>246</v>
      </c>
      <c r="O32" s="62" t="s">
        <v>247</v>
      </c>
      <c r="P32" s="62" t="s">
        <v>248</v>
      </c>
      <c r="Q32" s="65" t="s">
        <v>249</v>
      </c>
      <c r="R32" s="64">
        <v>0.01</v>
      </c>
    </row>
    <row r="33" ht="15.75" customHeight="1">
      <c r="F33" s="82" t="s">
        <v>250</v>
      </c>
      <c r="G33" s="74">
        <v>4.63661162E8</v>
      </c>
      <c r="H33" s="74">
        <v>4.40094194E8</v>
      </c>
      <c r="I33" s="74">
        <v>3.78625952E8</v>
      </c>
      <c r="J33" s="74">
        <v>3.49434474E8</v>
      </c>
      <c r="K33" s="74">
        <v>3.22297862E8</v>
      </c>
      <c r="L33" s="74">
        <v>3.0393612E8</v>
      </c>
      <c r="M33" s="74">
        <v>2.9307348E8</v>
      </c>
      <c r="N33" s="74">
        <v>2.75160624E8</v>
      </c>
      <c r="O33" s="74">
        <v>2.34499431E8</v>
      </c>
      <c r="P33" s="74">
        <v>2.28457449E8</v>
      </c>
      <c r="Q33" s="44"/>
      <c r="R33" s="45"/>
    </row>
    <row r="34" ht="15.75" customHeight="1">
      <c r="F34" s="42" t="s">
        <v>251</v>
      </c>
      <c r="G34" s="43"/>
      <c r="H34" s="78"/>
      <c r="I34" s="78"/>
      <c r="J34" s="78"/>
      <c r="K34" s="78"/>
      <c r="L34" s="78"/>
      <c r="M34" s="78"/>
      <c r="N34" s="78"/>
      <c r="O34" s="78"/>
      <c r="P34" s="78"/>
      <c r="Q34" s="44"/>
      <c r="R34" s="45"/>
    </row>
    <row r="35" ht="15.75" customHeight="1">
      <c r="F35" s="49"/>
      <c r="G35" s="43"/>
      <c r="H35" s="78"/>
      <c r="I35" s="78"/>
      <c r="J35" s="78"/>
      <c r="K35" s="78"/>
      <c r="L35" s="78"/>
      <c r="M35" s="78"/>
      <c r="N35" s="78"/>
      <c r="O35" s="78"/>
      <c r="P35" s="78"/>
      <c r="Q35" s="44"/>
      <c r="R35" s="45"/>
    </row>
    <row r="36" ht="15.75" customHeight="1">
      <c r="F36" s="35"/>
      <c r="G36" s="43"/>
      <c r="H36" s="78"/>
      <c r="I36" s="78"/>
      <c r="J36" s="78"/>
      <c r="K36" s="78"/>
      <c r="L36" s="78"/>
      <c r="M36" s="78"/>
      <c r="N36" s="78"/>
      <c r="O36" s="78"/>
      <c r="P36" s="78"/>
      <c r="Q36" s="44"/>
      <c r="R36" s="45"/>
    </row>
    <row r="37" ht="15.75" customHeight="1">
      <c r="F37" s="57" t="s">
        <v>252</v>
      </c>
      <c r="G37" s="55"/>
      <c r="H37" s="83"/>
      <c r="I37" s="83"/>
      <c r="J37" s="83"/>
      <c r="K37" s="83"/>
      <c r="L37" s="83"/>
      <c r="M37" s="83"/>
      <c r="N37" s="83"/>
      <c r="O37" s="83"/>
      <c r="P37" s="83"/>
      <c r="Q37" s="80"/>
      <c r="R37" s="45"/>
    </row>
    <row r="38" ht="15.75" customHeight="1">
      <c r="F38" s="61" t="s">
        <v>253</v>
      </c>
      <c r="G38" s="62" t="s">
        <v>254</v>
      </c>
      <c r="H38" s="62" t="s">
        <v>255</v>
      </c>
      <c r="I38" s="62" t="s">
        <v>256</v>
      </c>
      <c r="J38" s="62" t="s">
        <v>257</v>
      </c>
      <c r="K38" s="62" t="s">
        <v>258</v>
      </c>
      <c r="L38" s="62" t="s">
        <v>259</v>
      </c>
      <c r="M38" s="62" t="s">
        <v>260</v>
      </c>
      <c r="N38" s="62" t="s">
        <v>261</v>
      </c>
      <c r="O38" s="62" t="s">
        <v>262</v>
      </c>
      <c r="P38" s="62" t="s">
        <v>263</v>
      </c>
      <c r="Q38" s="63" t="s">
        <v>264</v>
      </c>
      <c r="R38" s="60">
        <v>1.04</v>
      </c>
    </row>
    <row r="39" ht="15.75" customHeight="1">
      <c r="F39" s="73" t="s">
        <v>265</v>
      </c>
      <c r="G39" s="74">
        <v>7.35497575E8</v>
      </c>
      <c r="H39" s="74">
        <v>6.38987871E8</v>
      </c>
      <c r="I39" s="74">
        <v>4.80727983E8</v>
      </c>
      <c r="J39" s="74">
        <v>4.00291852E8</v>
      </c>
      <c r="K39" s="74">
        <v>4.31824359E8</v>
      </c>
      <c r="L39" s="74">
        <v>3.97222907E8</v>
      </c>
      <c r="M39" s="74">
        <v>3.78661842E8</v>
      </c>
      <c r="N39" s="74">
        <v>3.42884988E8</v>
      </c>
      <c r="O39" s="74">
        <v>3.20137181E8</v>
      </c>
      <c r="P39" s="74">
        <v>3.06185933E8</v>
      </c>
      <c r="Q39" s="44"/>
      <c r="R39" s="45"/>
    </row>
    <row r="40" ht="15.75" customHeight="1">
      <c r="F40" s="61" t="s">
        <v>266</v>
      </c>
      <c r="G40" s="62" t="s">
        <v>267</v>
      </c>
      <c r="H40" s="62" t="s">
        <v>268</v>
      </c>
      <c r="I40" s="62" t="s">
        <v>269</v>
      </c>
      <c r="J40" s="62" t="s">
        <v>270</v>
      </c>
      <c r="K40" s="62" t="s">
        <v>271</v>
      </c>
      <c r="L40" s="62" t="s">
        <v>272</v>
      </c>
      <c r="M40" s="62" t="s">
        <v>273</v>
      </c>
      <c r="N40" s="62" t="s">
        <v>274</v>
      </c>
      <c r="O40" s="62" t="s">
        <v>275</v>
      </c>
      <c r="P40" s="62" t="s">
        <v>276</v>
      </c>
      <c r="Q40" s="79" t="s">
        <v>277</v>
      </c>
      <c r="R40" s="60">
        <v>0.99</v>
      </c>
    </row>
    <row r="41" ht="15.75" customHeight="1">
      <c r="F41" s="61" t="s">
        <v>278</v>
      </c>
      <c r="G41" s="62" t="s">
        <v>279</v>
      </c>
      <c r="H41" s="62" t="s">
        <v>280</v>
      </c>
      <c r="I41" s="62" t="s">
        <v>281</v>
      </c>
      <c r="J41" s="62" t="s">
        <v>282</v>
      </c>
      <c r="K41" s="62" t="s">
        <v>283</v>
      </c>
      <c r="L41" s="62" t="s">
        <v>284</v>
      </c>
      <c r="M41" s="62" t="s">
        <v>285</v>
      </c>
      <c r="N41" s="62" t="s">
        <v>286</v>
      </c>
      <c r="O41" s="62" t="s">
        <v>287</v>
      </c>
      <c r="P41" s="62" t="s">
        <v>288</v>
      </c>
      <c r="Q41" s="65" t="s">
        <v>289</v>
      </c>
      <c r="R41" s="64">
        <v>0.54</v>
      </c>
    </row>
    <row r="42" ht="15.75" customHeight="1">
      <c r="F42" s="73" t="s">
        <v>290</v>
      </c>
      <c r="G42" s="74" t="s">
        <v>291</v>
      </c>
      <c r="H42" s="74" t="s">
        <v>292</v>
      </c>
      <c r="I42" s="74" t="s">
        <v>293</v>
      </c>
      <c r="J42" s="74" t="s">
        <v>294</v>
      </c>
      <c r="K42" s="74" t="s">
        <v>295</v>
      </c>
      <c r="L42" s="74" t="s">
        <v>296</v>
      </c>
      <c r="M42" s="74" t="s">
        <v>297</v>
      </c>
      <c r="N42" s="74" t="s">
        <v>298</v>
      </c>
      <c r="O42" s="74" t="s">
        <v>299</v>
      </c>
      <c r="P42" s="74" t="s">
        <v>300</v>
      </c>
      <c r="Q42" s="65" t="s">
        <v>301</v>
      </c>
      <c r="R42" s="64">
        <v>0.05</v>
      </c>
    </row>
    <row r="43" ht="15.75" customHeight="1">
      <c r="F43" s="73" t="s">
        <v>302</v>
      </c>
      <c r="G43" s="74" t="s">
        <v>303</v>
      </c>
      <c r="H43" s="74" t="s">
        <v>304</v>
      </c>
      <c r="I43" s="74" t="s">
        <v>305</v>
      </c>
      <c r="J43" s="74" t="s">
        <v>306</v>
      </c>
      <c r="K43" s="74" t="s">
        <v>307</v>
      </c>
      <c r="L43" s="74" t="s">
        <v>308</v>
      </c>
      <c r="M43" s="74" t="s">
        <v>309</v>
      </c>
      <c r="N43" s="74" t="s">
        <v>310</v>
      </c>
      <c r="O43" s="74" t="s">
        <v>311</v>
      </c>
      <c r="P43" s="74" t="s">
        <v>312</v>
      </c>
      <c r="Q43" s="65" t="s">
        <v>313</v>
      </c>
      <c r="R43" s="64">
        <v>0.47</v>
      </c>
    </row>
    <row r="44" ht="15.75" customHeight="1">
      <c r="F44" s="44"/>
      <c r="G44" s="43"/>
      <c r="H44" s="78"/>
      <c r="I44" s="78"/>
      <c r="J44" s="78"/>
      <c r="K44" s="78"/>
      <c r="L44" s="78"/>
      <c r="M44" s="78"/>
      <c r="N44" s="78"/>
      <c r="O44" s="78"/>
      <c r="P44" s="78"/>
      <c r="Q44" s="44"/>
      <c r="R44" s="45"/>
    </row>
    <row r="45" ht="15.75" customHeight="1">
      <c r="F45" s="57" t="s">
        <v>314</v>
      </c>
      <c r="G45" s="43"/>
      <c r="H45" s="78"/>
      <c r="I45" s="78"/>
      <c r="J45" s="78"/>
      <c r="K45" s="78"/>
      <c r="L45" s="78"/>
      <c r="M45" s="78"/>
      <c r="N45" s="78"/>
      <c r="O45" s="78"/>
      <c r="P45" s="78"/>
      <c r="Q45" s="44"/>
      <c r="R45" s="45"/>
    </row>
    <row r="46" ht="15.75" customHeight="1">
      <c r="F46" s="61" t="s">
        <v>315</v>
      </c>
      <c r="G46" s="62" t="s">
        <v>316</v>
      </c>
      <c r="H46" s="62" t="s">
        <v>104</v>
      </c>
      <c r="I46" s="62" t="s">
        <v>317</v>
      </c>
      <c r="J46" s="62" t="s">
        <v>318</v>
      </c>
      <c r="K46" s="62" t="s">
        <v>151</v>
      </c>
      <c r="L46" s="62" t="s">
        <v>319</v>
      </c>
      <c r="M46" s="62" t="s">
        <v>320</v>
      </c>
      <c r="N46" s="62" t="s">
        <v>321</v>
      </c>
      <c r="O46" s="62" t="s">
        <v>248</v>
      </c>
      <c r="P46" s="62" t="s">
        <v>322</v>
      </c>
      <c r="Q46" s="79" t="s">
        <v>323</v>
      </c>
      <c r="R46" s="60">
        <v>0.0</v>
      </c>
    </row>
    <row r="47" ht="15.75" customHeight="1">
      <c r="F47" s="61" t="s">
        <v>324</v>
      </c>
      <c r="G47" s="62" t="s">
        <v>325</v>
      </c>
      <c r="H47" s="62" t="s">
        <v>326</v>
      </c>
      <c r="I47" s="62" t="s">
        <v>327</v>
      </c>
      <c r="J47" s="62" t="s">
        <v>328</v>
      </c>
      <c r="K47" s="62" t="s">
        <v>329</v>
      </c>
      <c r="L47" s="62" t="s">
        <v>330</v>
      </c>
      <c r="M47" s="62" t="s">
        <v>331</v>
      </c>
      <c r="N47" s="62" t="s">
        <v>332</v>
      </c>
      <c r="O47" s="62" t="s">
        <v>333</v>
      </c>
      <c r="P47" s="62" t="s">
        <v>334</v>
      </c>
      <c r="Q47" s="65" t="s">
        <v>335</v>
      </c>
      <c r="R47" s="64">
        <v>0.0</v>
      </c>
    </row>
    <row r="48" ht="15.75" customHeight="1">
      <c r="F48" s="61" t="s">
        <v>336</v>
      </c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44"/>
      <c r="R48" s="45"/>
    </row>
    <row r="49" ht="15.75" customHeight="1">
      <c r="F49" s="57" t="s">
        <v>337</v>
      </c>
      <c r="G49" s="58" t="s">
        <v>338</v>
      </c>
      <c r="H49" s="58" t="s">
        <v>339</v>
      </c>
      <c r="I49" s="58" t="s">
        <v>340</v>
      </c>
      <c r="J49" s="58" t="s">
        <v>341</v>
      </c>
      <c r="K49" s="58" t="s">
        <v>342</v>
      </c>
      <c r="L49" s="58" t="s">
        <v>343</v>
      </c>
      <c r="M49" s="58" t="s">
        <v>344</v>
      </c>
      <c r="N49" s="58" t="s">
        <v>345</v>
      </c>
      <c r="O49" s="58" t="s">
        <v>346</v>
      </c>
      <c r="P49" s="58" t="s">
        <v>347</v>
      </c>
      <c r="Q49" s="79" t="s">
        <v>348</v>
      </c>
      <c r="R49" s="60">
        <v>0.05</v>
      </c>
    </row>
    <row r="50" ht="15.75" customHeight="1">
      <c r="F50" s="61" t="s">
        <v>349</v>
      </c>
      <c r="G50" s="62" t="s">
        <v>350</v>
      </c>
      <c r="H50" s="62" t="s">
        <v>70</v>
      </c>
      <c r="I50" s="62" t="s">
        <v>351</v>
      </c>
      <c r="J50" s="62" t="s">
        <v>352</v>
      </c>
      <c r="K50" s="62" t="s">
        <v>353</v>
      </c>
      <c r="L50" s="62" t="s">
        <v>353</v>
      </c>
      <c r="M50" s="62" t="s">
        <v>354</v>
      </c>
      <c r="N50" s="62" t="s">
        <v>355</v>
      </c>
      <c r="O50" s="62" t="s">
        <v>234</v>
      </c>
      <c r="P50" s="62" t="s">
        <v>356</v>
      </c>
      <c r="Q50" s="65" t="s">
        <v>357</v>
      </c>
      <c r="R50" s="64">
        <v>0.01</v>
      </c>
    </row>
    <row r="51" ht="15.75" customHeight="1">
      <c r="F51" s="57" t="s">
        <v>358</v>
      </c>
      <c r="G51" s="58" t="s">
        <v>70</v>
      </c>
      <c r="H51" s="58" t="s">
        <v>71</v>
      </c>
      <c r="I51" s="58" t="s">
        <v>359</v>
      </c>
      <c r="J51" s="58" t="s">
        <v>360</v>
      </c>
      <c r="K51" s="58" t="s">
        <v>72</v>
      </c>
      <c r="L51" s="58" t="s">
        <v>361</v>
      </c>
      <c r="M51" s="58" t="s">
        <v>362</v>
      </c>
      <c r="N51" s="58" t="s">
        <v>363</v>
      </c>
      <c r="O51" s="58" t="s">
        <v>364</v>
      </c>
      <c r="P51" s="58" t="s">
        <v>365</v>
      </c>
      <c r="Q51" s="65" t="s">
        <v>366</v>
      </c>
      <c r="R51" s="64">
        <v>0.02</v>
      </c>
    </row>
    <row r="52" ht="15.75" customHeight="1">
      <c r="F52" s="82" t="s">
        <v>367</v>
      </c>
      <c r="G52" s="85" t="s">
        <v>368</v>
      </c>
      <c r="H52" s="86" t="s">
        <v>369</v>
      </c>
      <c r="I52" s="85" t="s">
        <v>370</v>
      </c>
      <c r="J52" s="85" t="s">
        <v>371</v>
      </c>
      <c r="K52" s="85" t="s">
        <v>372</v>
      </c>
      <c r="L52" s="85" t="s">
        <v>373</v>
      </c>
      <c r="M52" s="85" t="s">
        <v>374</v>
      </c>
      <c r="N52" s="85" t="s">
        <v>375</v>
      </c>
      <c r="O52" s="85" t="s">
        <v>376</v>
      </c>
      <c r="P52" s="85" t="s">
        <v>377</v>
      </c>
      <c r="Q52" s="65" t="s">
        <v>378</v>
      </c>
      <c r="R52" s="64">
        <v>0.04</v>
      </c>
    </row>
    <row r="53" ht="15.75" customHeight="1"/>
    <row r="54" ht="15.75" customHeight="1">
      <c r="K54" s="87"/>
      <c r="L54" s="77" t="s">
        <v>379</v>
      </c>
      <c r="M54" s="87"/>
    </row>
    <row r="55" ht="15.75" customHeight="1">
      <c r="K55" s="87"/>
      <c r="L55" s="77" t="s">
        <v>380</v>
      </c>
      <c r="M55" s="88">
        <v>0.032</v>
      </c>
    </row>
    <row r="56" ht="15.75" customHeight="1">
      <c r="K56" s="87"/>
      <c r="L56" s="77" t="s">
        <v>27</v>
      </c>
      <c r="M56" s="88">
        <v>0.4798</v>
      </c>
    </row>
    <row r="57" ht="15.75" customHeight="1">
      <c r="E57" s="89" t="s">
        <v>35</v>
      </c>
      <c r="F57" s="90">
        <v>2023.0</v>
      </c>
      <c r="G57" s="90">
        <v>2022.0</v>
      </c>
      <c r="H57" s="90">
        <v>2021.0</v>
      </c>
    </row>
    <row r="58" ht="15.75" customHeight="1">
      <c r="E58" s="91" t="s">
        <v>381</v>
      </c>
      <c r="F58" s="92"/>
      <c r="G58" s="92"/>
      <c r="H58" s="92"/>
    </row>
    <row r="59" ht="15.75" customHeight="1">
      <c r="E59" s="93" t="s">
        <v>50</v>
      </c>
      <c r="F59" s="94">
        <v>0.37</v>
      </c>
      <c r="G59" s="94">
        <v>0.41</v>
      </c>
      <c r="H59" s="94">
        <v>0.43</v>
      </c>
    </row>
    <row r="60" ht="15.75" customHeight="1">
      <c r="E60" s="95" t="s">
        <v>66</v>
      </c>
      <c r="F60" s="94">
        <v>0.07</v>
      </c>
      <c r="G60" s="94">
        <v>0.07</v>
      </c>
      <c r="H60" s="94">
        <v>0.08</v>
      </c>
    </row>
    <row r="61" ht="15.75" customHeight="1">
      <c r="E61" s="96" t="s">
        <v>79</v>
      </c>
      <c r="F61" s="94">
        <v>0.06</v>
      </c>
      <c r="G61" s="94">
        <v>0.06</v>
      </c>
      <c r="H61" s="94">
        <v>0.07</v>
      </c>
    </row>
    <row r="62" ht="15.75" customHeight="1">
      <c r="E62" s="95" t="s">
        <v>92</v>
      </c>
      <c r="F62" s="94">
        <v>0.25</v>
      </c>
      <c r="G62" s="94">
        <v>0.28</v>
      </c>
      <c r="H62" s="94">
        <v>0.29</v>
      </c>
    </row>
    <row r="63" ht="15.75" customHeight="1">
      <c r="E63" s="97" t="s">
        <v>106</v>
      </c>
      <c r="F63" s="98">
        <v>0.58</v>
      </c>
      <c r="G63" s="98">
        <v>0.64</v>
      </c>
      <c r="H63" s="98">
        <v>0.67</v>
      </c>
    </row>
    <row r="64" ht="15.75" customHeight="1">
      <c r="E64" s="95" t="s">
        <v>119</v>
      </c>
      <c r="F64" s="94">
        <v>0.2</v>
      </c>
      <c r="G64" s="94">
        <v>0.22</v>
      </c>
      <c r="H64" s="94">
        <v>0.23</v>
      </c>
    </row>
    <row r="65" ht="15.75" customHeight="1">
      <c r="E65" s="95" t="s">
        <v>132</v>
      </c>
      <c r="F65" s="94">
        <v>0.29</v>
      </c>
      <c r="G65" s="94">
        <v>0.33</v>
      </c>
      <c r="H65" s="94">
        <v>0.34</v>
      </c>
    </row>
    <row r="66" ht="15.75" customHeight="1">
      <c r="E66" s="95" t="s">
        <v>144</v>
      </c>
      <c r="F66" s="94">
        <v>0.0</v>
      </c>
      <c r="G66" s="94">
        <v>0.0</v>
      </c>
      <c r="H66" s="94">
        <v>0.0</v>
      </c>
    </row>
    <row r="67" ht="15.75" customHeight="1">
      <c r="E67" s="95" t="s">
        <v>154</v>
      </c>
      <c r="F67" s="94">
        <v>0.09</v>
      </c>
      <c r="G67" s="94">
        <v>0.1</v>
      </c>
      <c r="H67" s="94">
        <v>0.1</v>
      </c>
    </row>
    <row r="68" ht="15.75" customHeight="1">
      <c r="E68" s="96" t="s">
        <v>164</v>
      </c>
      <c r="F68" s="94">
        <v>0.05</v>
      </c>
      <c r="G68" s="94">
        <v>0.06</v>
      </c>
      <c r="H68" s="94">
        <v>0.06</v>
      </c>
    </row>
    <row r="69" ht="15.75" customHeight="1">
      <c r="E69" s="97" t="s">
        <v>171</v>
      </c>
      <c r="F69" s="99" t="s">
        <v>382</v>
      </c>
      <c r="G69" s="99" t="s">
        <v>383</v>
      </c>
      <c r="H69" s="99" t="s">
        <v>384</v>
      </c>
    </row>
    <row r="70" ht="15.75" customHeight="1">
      <c r="E70" s="100"/>
      <c r="F70" s="101"/>
      <c r="G70" s="101"/>
      <c r="H70" s="101"/>
    </row>
    <row r="71" ht="15.75" customHeight="1">
      <c r="E71" s="102" t="s">
        <v>385</v>
      </c>
      <c r="F71" s="103"/>
      <c r="G71" s="103"/>
      <c r="H71" s="103"/>
    </row>
    <row r="72" ht="15.75" customHeight="1">
      <c r="E72" s="104" t="s">
        <v>386</v>
      </c>
      <c r="F72" s="101"/>
      <c r="G72" s="101"/>
      <c r="H72" s="101"/>
    </row>
    <row r="73" ht="15.75" customHeight="1">
      <c r="E73" s="96" t="s">
        <v>176</v>
      </c>
      <c r="F73" s="94">
        <v>0.19</v>
      </c>
      <c r="G73" s="94">
        <v>0.21</v>
      </c>
      <c r="H73" s="94">
        <v>0.22</v>
      </c>
    </row>
    <row r="74" ht="15.75" customHeight="1">
      <c r="E74" s="95" t="s">
        <v>188</v>
      </c>
      <c r="F74" s="94">
        <v>0.01</v>
      </c>
      <c r="G74" s="94">
        <v>0.01</v>
      </c>
      <c r="H74" s="94">
        <v>0.01</v>
      </c>
    </row>
    <row r="75" ht="15.75" customHeight="1">
      <c r="E75" s="93" t="s">
        <v>201</v>
      </c>
      <c r="F75" s="94">
        <v>0.73</v>
      </c>
      <c r="G75" s="94">
        <v>0.82</v>
      </c>
      <c r="H75" s="94">
        <v>0.85</v>
      </c>
    </row>
    <row r="76" ht="15.75" customHeight="1">
      <c r="E76" s="105" t="s">
        <v>213</v>
      </c>
      <c r="F76" s="106">
        <v>0.22</v>
      </c>
      <c r="G76" s="106">
        <v>0.25</v>
      </c>
      <c r="H76" s="106">
        <v>0.26</v>
      </c>
    </row>
    <row r="77" ht="15.75" customHeight="1">
      <c r="B77" s="77" t="s">
        <v>387</v>
      </c>
      <c r="E77" s="107" t="s">
        <v>215</v>
      </c>
      <c r="F77" s="106">
        <v>0.51</v>
      </c>
      <c r="G77" s="106">
        <v>0.57</v>
      </c>
      <c r="H77" s="106">
        <v>0.6</v>
      </c>
    </row>
    <row r="78" ht="15.75" customHeight="1">
      <c r="E78" s="96" t="s">
        <v>216</v>
      </c>
      <c r="F78" s="94">
        <v>0.21</v>
      </c>
      <c r="G78" s="94">
        <v>0.24</v>
      </c>
      <c r="H78" s="94">
        <v>0.25</v>
      </c>
    </row>
    <row r="79" ht="15.75" customHeight="1">
      <c r="E79" s="95" t="s">
        <v>228</v>
      </c>
      <c r="F79" s="94">
        <v>0.02</v>
      </c>
      <c r="G79" s="94">
        <v>0.03</v>
      </c>
      <c r="H79" s="94">
        <v>0.03</v>
      </c>
    </row>
    <row r="80" ht="15.75" customHeight="1">
      <c r="E80" s="95" t="s">
        <v>240</v>
      </c>
      <c r="F80" s="94">
        <v>0.0</v>
      </c>
      <c r="G80" s="94">
        <v>0.0</v>
      </c>
      <c r="H80" s="94">
        <v>0.01</v>
      </c>
    </row>
    <row r="81" ht="15.75" customHeight="1">
      <c r="E81" s="108" t="s">
        <v>250</v>
      </c>
      <c r="F81" s="109" t="s">
        <v>382</v>
      </c>
      <c r="G81" s="109" t="s">
        <v>383</v>
      </c>
      <c r="H81" s="109" t="s">
        <v>384</v>
      </c>
    </row>
    <row r="82" ht="15.75" customHeight="1">
      <c r="E82" s="110" t="s">
        <v>251</v>
      </c>
      <c r="F82" s="111"/>
      <c r="G82" s="111"/>
      <c r="H82" s="111"/>
    </row>
    <row r="83" ht="15.75" customHeight="1">
      <c r="E83" s="112" t="s">
        <v>252</v>
      </c>
      <c r="F83" s="113"/>
      <c r="G83" s="113"/>
      <c r="H83" s="113"/>
    </row>
    <row r="84" ht="15.75" customHeight="1">
      <c r="E84" s="95" t="s">
        <v>253</v>
      </c>
      <c r="F84" s="94">
        <v>1.03</v>
      </c>
      <c r="G84" s="94">
        <v>0.97</v>
      </c>
      <c r="H84" s="94">
        <v>1.04</v>
      </c>
    </row>
    <row r="85" ht="15.75" customHeight="1">
      <c r="E85" s="114" t="s">
        <v>265</v>
      </c>
      <c r="F85" s="115" t="s">
        <v>388</v>
      </c>
      <c r="G85" s="115" t="s">
        <v>389</v>
      </c>
      <c r="H85" s="115" t="s">
        <v>390</v>
      </c>
    </row>
    <row r="86" ht="15.75" customHeight="1">
      <c r="E86" s="95" t="s">
        <v>266</v>
      </c>
      <c r="F86" s="116">
        <v>1.11</v>
      </c>
      <c r="G86" s="116">
        <v>1.05</v>
      </c>
      <c r="H86" s="116">
        <v>1.12</v>
      </c>
    </row>
    <row r="87" ht="15.75" customHeight="1">
      <c r="E87" s="112" t="s">
        <v>290</v>
      </c>
      <c r="F87" s="117">
        <v>-0.08</v>
      </c>
      <c r="G87" s="117">
        <v>-0.08</v>
      </c>
      <c r="H87" s="117">
        <v>-0.08</v>
      </c>
    </row>
    <row r="88" ht="15.75" customHeight="1">
      <c r="E88" s="112" t="s">
        <v>302</v>
      </c>
      <c r="F88" s="117">
        <v>0.47</v>
      </c>
      <c r="G88" s="117">
        <v>0.44</v>
      </c>
      <c r="H88" s="117">
        <v>0.47</v>
      </c>
    </row>
    <row r="89" ht="15.75" customHeight="1">
      <c r="E89" s="93" t="s">
        <v>314</v>
      </c>
      <c r="F89" s="101"/>
      <c r="G89" s="101"/>
      <c r="H89" s="101"/>
    </row>
    <row r="90" ht="15.75" customHeight="1">
      <c r="E90" s="95" t="s">
        <v>315</v>
      </c>
      <c r="F90" s="115">
        <v>0.0</v>
      </c>
      <c r="G90" s="115">
        <v>-342.105</v>
      </c>
      <c r="H90" s="115">
        <v>-297.471</v>
      </c>
    </row>
    <row r="91" ht="15.75" customHeight="1">
      <c r="E91" s="95" t="s">
        <v>324</v>
      </c>
      <c r="F91" s="116">
        <v>-0.05</v>
      </c>
      <c r="G91" s="116">
        <v>-0.04</v>
      </c>
      <c r="H91" s="116">
        <v>-0.05</v>
      </c>
    </row>
    <row r="92" ht="15.75" customHeight="1">
      <c r="E92" s="118" t="s">
        <v>336</v>
      </c>
      <c r="F92" s="119">
        <v>3819655.3430555556</v>
      </c>
      <c r="G92" s="120">
        <v>307485.4506944445</v>
      </c>
      <c r="H92" s="90" t="s">
        <v>391</v>
      </c>
    </row>
    <row r="93" ht="15.75" customHeight="1">
      <c r="E93" s="93" t="s">
        <v>337</v>
      </c>
      <c r="F93" s="94">
        <v>-0.16</v>
      </c>
      <c r="G93" s="94">
        <v>-0.15</v>
      </c>
      <c r="H93" s="94">
        <v>-0.16</v>
      </c>
    </row>
    <row r="94" ht="15.75" customHeight="1">
      <c r="E94" s="95" t="s">
        <v>358</v>
      </c>
      <c r="F94" s="94">
        <v>-0.01</v>
      </c>
      <c r="G94" s="94">
        <v>-0.01</v>
      </c>
      <c r="H94" s="94">
        <v>-0.01</v>
      </c>
    </row>
    <row r="95" ht="15.75" customHeight="1">
      <c r="E95" s="121" t="s">
        <v>367</v>
      </c>
      <c r="F95" s="122">
        <v>-0.15</v>
      </c>
      <c r="G95" s="123">
        <v>-0.15</v>
      </c>
      <c r="H95" s="123">
        <v>-0.15</v>
      </c>
    </row>
    <row r="96" ht="15.75" customHeight="1"/>
    <row r="97" ht="15.75" customHeight="1">
      <c r="F97" s="77" t="s">
        <v>379</v>
      </c>
      <c r="G97" s="87"/>
    </row>
    <row r="98" ht="15.75" customHeight="1">
      <c r="F98" s="77" t="s">
        <v>380</v>
      </c>
      <c r="G98" s="124">
        <f>AVERAGE(F95,G95)</f>
        <v>-0.15</v>
      </c>
    </row>
    <row r="99" ht="15.75" customHeight="1">
      <c r="F99" s="77" t="s">
        <v>27</v>
      </c>
      <c r="G99" s="124">
        <f>AVERAGE(F88,G88)</f>
        <v>0.455</v>
      </c>
    </row>
    <row r="101" ht="15.75" customHeight="1"/>
    <row r="103" ht="15.75" customHeight="1">
      <c r="C103" s="20"/>
    </row>
    <row r="104" ht="15.75" customHeight="1">
      <c r="E104" s="125" t="s">
        <v>392</v>
      </c>
      <c r="H104" s="126" t="s">
        <v>393</v>
      </c>
      <c r="I104" s="127" t="s">
        <v>394</v>
      </c>
    </row>
    <row r="105" ht="15.75" customHeight="1">
      <c r="E105" s="128" t="s">
        <v>395</v>
      </c>
      <c r="F105" s="129" t="s">
        <v>396</v>
      </c>
      <c r="H105" s="130" t="s">
        <v>397</v>
      </c>
      <c r="I105" s="131"/>
    </row>
    <row r="106" ht="15.75" customHeight="1">
      <c r="E106" s="132" t="s">
        <v>38</v>
      </c>
      <c r="F106" s="133">
        <f>AVERAGE(G98,D7,AE3)</f>
        <v>0.003333333333</v>
      </c>
      <c r="G106" s="20"/>
      <c r="H106" s="134" t="s">
        <v>380</v>
      </c>
      <c r="I106" s="135">
        <v>0.032</v>
      </c>
    </row>
    <row r="107" ht="15.75" customHeight="1">
      <c r="E107" s="136" t="s">
        <v>27</v>
      </c>
      <c r="F107" s="137">
        <f>AVERAGE(G99,D5,AE4)</f>
        <v>0.71</v>
      </c>
      <c r="H107" s="138" t="s">
        <v>27</v>
      </c>
      <c r="I107" s="139">
        <v>0.4798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F1:R2"/>
    <mergeCell ref="Q4:Q5"/>
    <mergeCell ref="R4:R5"/>
    <mergeCell ref="F6:F8"/>
    <mergeCell ref="F34:F36"/>
  </mergeCells>
  <dataValidations>
    <dataValidation type="custom" allowBlank="1" showDropDown="1" sqref="I105:I107">
      <formula1>AND(ISNUMBER(I105),(NOT(OR(NOT(ISERROR(DATEVALUE(I105))), AND(ISNUMBER(I105), LEFT(CELL("format", I105))="D")))))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5.67"/>
    <col customWidth="1" min="4" max="5" width="12.89"/>
    <col customWidth="1" min="6" max="6" width="23.22"/>
    <col customWidth="1" min="7" max="8" width="12.89"/>
    <col customWidth="1" min="9" max="9" width="31.78"/>
    <col customWidth="1" min="10" max="10" width="12.89"/>
    <col customWidth="1" min="11" max="11" width="16.11"/>
  </cols>
  <sheetData>
    <row r="1">
      <c r="A1" s="140"/>
      <c r="B1" s="9">
        <v>45291.0</v>
      </c>
      <c r="C1" s="9">
        <v>44926.0</v>
      </c>
      <c r="D1" s="9">
        <v>44561.0</v>
      </c>
      <c r="E1" s="9">
        <v>44196.0</v>
      </c>
      <c r="F1" s="9">
        <v>43830.0</v>
      </c>
      <c r="G1" s="9">
        <v>43465.0</v>
      </c>
      <c r="H1" s="9">
        <v>43100.0</v>
      </c>
      <c r="I1" s="9">
        <v>42735.0</v>
      </c>
      <c r="J1" s="9">
        <v>42369.0</v>
      </c>
      <c r="K1" s="9">
        <v>42004.0</v>
      </c>
      <c r="L1" s="141" t="s">
        <v>398</v>
      </c>
      <c r="N1" s="142"/>
      <c r="O1" s="143">
        <v>2023.0</v>
      </c>
      <c r="P1" s="144">
        <v>2022.0</v>
      </c>
      <c r="Q1" s="144">
        <v>2021.0</v>
      </c>
      <c r="R1" s="144">
        <v>2020.0</v>
      </c>
      <c r="S1" s="144">
        <v>2019.0</v>
      </c>
      <c r="T1" s="144">
        <v>2018.0</v>
      </c>
      <c r="U1" s="144">
        <v>2017.0</v>
      </c>
      <c r="V1" s="144">
        <v>2016.0</v>
      </c>
      <c r="W1" s="144">
        <v>2015.0</v>
      </c>
      <c r="X1" s="145">
        <v>2014.0</v>
      </c>
      <c r="Y1" s="146" t="s">
        <v>398</v>
      </c>
    </row>
    <row r="2">
      <c r="A2" s="147" t="s">
        <v>399</v>
      </c>
      <c r="B2" s="148">
        <v>0.10972222222222222</v>
      </c>
      <c r="C2" s="148">
        <v>0.10069444444444445</v>
      </c>
      <c r="D2" s="148">
        <v>0.10416666666666667</v>
      </c>
      <c r="E2" s="148">
        <v>0.14722222222222223</v>
      </c>
      <c r="F2" s="148">
        <v>0.12152777777777778</v>
      </c>
      <c r="G2" s="148">
        <v>0.1840277777777778</v>
      </c>
      <c r="H2" s="148">
        <v>0.14305555555555555</v>
      </c>
      <c r="I2" s="148">
        <v>0.9826388888888888</v>
      </c>
      <c r="J2" s="148">
        <v>0.09236111111111112</v>
      </c>
      <c r="K2" s="148">
        <v>0.08333333333333333</v>
      </c>
      <c r="L2" s="149">
        <v>4.66</v>
      </c>
      <c r="N2" s="150" t="s">
        <v>400</v>
      </c>
      <c r="O2" s="151">
        <v>1.67</v>
      </c>
      <c r="P2" s="152">
        <v>1.88</v>
      </c>
      <c r="Q2" s="152">
        <v>2.22</v>
      </c>
      <c r="R2" s="152">
        <v>3.405</v>
      </c>
      <c r="S2" s="152">
        <v>2.32</v>
      </c>
      <c r="T2" s="152">
        <v>2.279</v>
      </c>
      <c r="U2" s="152">
        <v>1.836</v>
      </c>
      <c r="V2" s="152">
        <v>1.601</v>
      </c>
      <c r="W2" s="152">
        <v>1.802</v>
      </c>
      <c r="X2" s="153">
        <v>1.626</v>
      </c>
      <c r="Y2" s="154">
        <v>2.065</v>
      </c>
    </row>
    <row r="3">
      <c r="A3" s="155" t="s">
        <v>401</v>
      </c>
      <c r="B3" s="156">
        <v>0.09722222222222222</v>
      </c>
      <c r="C3" s="156">
        <v>0.1076388888888889</v>
      </c>
      <c r="D3" s="156">
        <v>0.09097222222222222</v>
      </c>
      <c r="E3" s="156">
        <v>0.12569444444444444</v>
      </c>
      <c r="F3" s="156">
        <v>0.10138888888888889</v>
      </c>
      <c r="G3" s="156">
        <v>0.15208333333333332</v>
      </c>
      <c r="H3" s="156">
        <v>0.10902777777777778</v>
      </c>
      <c r="I3" s="156">
        <v>0.8277777777777777</v>
      </c>
      <c r="J3" s="156">
        <v>0.09236111111111112</v>
      </c>
      <c r="K3" s="156">
        <v>0.08263888888888889</v>
      </c>
      <c r="L3" s="157">
        <v>3.89</v>
      </c>
      <c r="N3" s="158" t="s">
        <v>402</v>
      </c>
      <c r="O3" s="159">
        <v>0.48</v>
      </c>
      <c r="P3" s="160">
        <v>0.54</v>
      </c>
      <c r="Q3" s="160">
        <v>0.68</v>
      </c>
      <c r="R3" s="160">
        <v>0.83</v>
      </c>
      <c r="S3" s="160">
        <v>0.739</v>
      </c>
      <c r="T3" s="160">
        <v>0.817</v>
      </c>
      <c r="U3" s="160">
        <v>0.681</v>
      </c>
      <c r="V3" s="160">
        <v>0.746</v>
      </c>
      <c r="W3" s="160">
        <v>0.934</v>
      </c>
      <c r="X3" s="161">
        <v>0.918</v>
      </c>
      <c r="Y3" s="154">
        <v>0.737</v>
      </c>
    </row>
    <row r="4">
      <c r="A4" s="162" t="s">
        <v>403</v>
      </c>
      <c r="B4" s="163">
        <v>0.034722222222222224</v>
      </c>
      <c r="C4" s="163">
        <v>0.04583333333333333</v>
      </c>
      <c r="D4" s="163">
        <v>0.03611111111111111</v>
      </c>
      <c r="E4" s="163">
        <v>0.06041666666666667</v>
      </c>
      <c r="F4" s="163">
        <v>0.034722222222222224</v>
      </c>
      <c r="G4" s="163">
        <v>0.09305555555555556</v>
      </c>
      <c r="H4" s="163">
        <v>0.06111111111111111</v>
      </c>
      <c r="I4" s="163">
        <v>0.43125</v>
      </c>
      <c r="J4" s="163">
        <v>0.034027777777777775</v>
      </c>
      <c r="K4" s="163">
        <v>0.029166666666666667</v>
      </c>
      <c r="L4" s="164">
        <v>1.68</v>
      </c>
      <c r="N4" s="165" t="s">
        <v>404</v>
      </c>
      <c r="O4" s="166">
        <v>0.01</v>
      </c>
      <c r="P4" s="167">
        <v>0.013</v>
      </c>
      <c r="Q4" s="167">
        <v>0.012</v>
      </c>
      <c r="R4" s="167">
        <v>0.002</v>
      </c>
      <c r="S4" s="167">
        <v>0.001</v>
      </c>
      <c r="T4" s="167">
        <v>0.002</v>
      </c>
      <c r="U4" s="167">
        <v>0.001</v>
      </c>
      <c r="V4" s="167">
        <v>0.001</v>
      </c>
      <c r="W4" s="167">
        <v>0.001</v>
      </c>
      <c r="X4" s="168">
        <v>0.001</v>
      </c>
      <c r="Y4" s="169">
        <v>0.005</v>
      </c>
    </row>
    <row r="5">
      <c r="D5" s="20" t="s">
        <v>405</v>
      </c>
      <c r="E5" s="20"/>
      <c r="P5" s="20" t="s">
        <v>406</v>
      </c>
    </row>
    <row r="8">
      <c r="A8" s="170" t="s">
        <v>13</v>
      </c>
      <c r="B8" s="171" t="s">
        <v>14</v>
      </c>
      <c r="C8" s="171" t="s">
        <v>15</v>
      </c>
      <c r="D8" s="171" t="s">
        <v>16</v>
      </c>
      <c r="E8" s="171" t="s">
        <v>17</v>
      </c>
      <c r="F8" s="171" t="s">
        <v>18</v>
      </c>
      <c r="G8" s="171" t="s">
        <v>19</v>
      </c>
      <c r="H8" s="171" t="s">
        <v>20</v>
      </c>
      <c r="I8" s="171" t="s">
        <v>21</v>
      </c>
      <c r="J8" s="171" t="s">
        <v>22</v>
      </c>
      <c r="K8" s="171" t="s">
        <v>23</v>
      </c>
      <c r="L8" s="172" t="s">
        <v>407</v>
      </c>
      <c r="M8" s="171" t="s">
        <v>25</v>
      </c>
      <c r="N8" s="173" t="s">
        <v>13</v>
      </c>
      <c r="O8" s="174">
        <v>2023.0</v>
      </c>
      <c r="P8" s="174">
        <v>2022.0</v>
      </c>
      <c r="Q8" s="174">
        <v>2021.0</v>
      </c>
      <c r="R8" s="174">
        <v>2020.0</v>
      </c>
      <c r="S8" s="174">
        <v>2019.0</v>
      </c>
      <c r="T8" s="174">
        <v>2018.0</v>
      </c>
      <c r="U8" s="174">
        <v>2017.0</v>
      </c>
      <c r="V8" s="174">
        <v>2016.0</v>
      </c>
      <c r="W8" s="174">
        <v>2015.0</v>
      </c>
      <c r="X8" s="174">
        <v>2014.0</v>
      </c>
      <c r="Y8" s="175" t="s">
        <v>408</v>
      </c>
    </row>
    <row r="9">
      <c r="A9" s="54" t="s">
        <v>409</v>
      </c>
      <c r="B9" s="176">
        <v>0.08611111111111111</v>
      </c>
      <c r="C9" s="176">
        <v>0.07708333333333334</v>
      </c>
      <c r="D9" s="176">
        <v>0.05763888888888889</v>
      </c>
      <c r="E9" s="176">
        <v>0.04513888888888889</v>
      </c>
      <c r="F9" s="176">
        <v>0.07847222222222222</v>
      </c>
      <c r="G9" s="176">
        <v>0.07708333333333334</v>
      </c>
      <c r="H9" s="176">
        <v>0.07222222222222222</v>
      </c>
      <c r="I9" s="176">
        <v>0.07152777777777777</v>
      </c>
      <c r="J9" s="176">
        <v>0.08958333333333333</v>
      </c>
      <c r="K9" s="176">
        <v>0.08194444444444444</v>
      </c>
      <c r="L9" s="177" t="s">
        <v>410</v>
      </c>
      <c r="M9" s="178">
        <v>1.46</v>
      </c>
      <c r="N9" s="179" t="s">
        <v>411</v>
      </c>
      <c r="O9" s="180">
        <v>0.050694444444444445</v>
      </c>
      <c r="P9" s="180">
        <v>0.050694444444444445</v>
      </c>
      <c r="Q9" s="180">
        <v>0.052083333333333336</v>
      </c>
      <c r="R9" s="180">
        <v>0.06111111111111111</v>
      </c>
      <c r="S9" s="180">
        <v>0.075</v>
      </c>
      <c r="T9" s="180">
        <v>0.06666666666666667</v>
      </c>
      <c r="U9" s="180">
        <v>0.06597222222222222</v>
      </c>
      <c r="V9" s="180">
        <v>0.05694444444444444</v>
      </c>
      <c r="W9" s="180">
        <v>0.07847222222222222</v>
      </c>
      <c r="X9" s="180">
        <v>0.06388888888888888</v>
      </c>
      <c r="Y9" s="181">
        <v>1.29</v>
      </c>
    </row>
    <row r="10">
      <c r="A10" s="54" t="s">
        <v>412</v>
      </c>
      <c r="B10" s="176">
        <v>0.052083333333333336</v>
      </c>
      <c r="C10" s="176">
        <v>0.04652777777777778</v>
      </c>
      <c r="D10" s="176">
        <v>0.06388888888888888</v>
      </c>
      <c r="E10" s="176">
        <v>0.05416666666666667</v>
      </c>
      <c r="F10" s="176">
        <v>0.05555555555555555</v>
      </c>
      <c r="G10" s="176">
        <v>0.05277777777777778</v>
      </c>
      <c r="H10" s="176">
        <v>0.04861111111111111</v>
      </c>
      <c r="I10" s="176">
        <v>0.04652777777777778</v>
      </c>
      <c r="J10" s="176">
        <v>0.059722222222222225</v>
      </c>
      <c r="K10" s="176">
        <v>0.05763888888888889</v>
      </c>
      <c r="L10" s="182" t="s">
        <v>413</v>
      </c>
      <c r="M10" s="178">
        <v>1.09</v>
      </c>
      <c r="N10" s="183" t="s">
        <v>414</v>
      </c>
      <c r="O10" s="184">
        <v>0.09166666666666666</v>
      </c>
      <c r="P10" s="184">
        <v>0.10555555555555556</v>
      </c>
      <c r="Q10" s="184">
        <v>0.07847222222222222</v>
      </c>
      <c r="R10" s="184">
        <v>0.08333333333333333</v>
      </c>
      <c r="S10" s="184">
        <v>0.06666666666666667</v>
      </c>
      <c r="T10" s="184">
        <v>0.22013888888888888</v>
      </c>
      <c r="U10" s="184">
        <v>0.19166666666666668</v>
      </c>
      <c r="V10" s="184">
        <v>0.20347222222222222</v>
      </c>
      <c r="W10" s="184">
        <v>0.15208333333333332</v>
      </c>
      <c r="X10" s="184">
        <v>0.23680555555555555</v>
      </c>
      <c r="Y10" s="185">
        <v>3.02</v>
      </c>
    </row>
    <row r="11">
      <c r="A11" s="186" t="s">
        <v>415</v>
      </c>
      <c r="B11" s="187">
        <v>6.944444444444445E-4</v>
      </c>
      <c r="C11" s="187">
        <v>0.001388888888888889</v>
      </c>
      <c r="D11" s="188">
        <v>0.0</v>
      </c>
      <c r="E11" s="187">
        <v>0.001388888888888889</v>
      </c>
      <c r="F11" s="188">
        <v>0.002777777777777778</v>
      </c>
      <c r="G11" s="187">
        <v>0.0</v>
      </c>
      <c r="H11" s="188">
        <v>0.0</v>
      </c>
      <c r="I11" s="188">
        <v>0.0</v>
      </c>
      <c r="J11" s="188">
        <v>0.0</v>
      </c>
      <c r="K11" s="188">
        <v>0.0</v>
      </c>
      <c r="L11" s="177" t="s">
        <v>416</v>
      </c>
      <c r="M11" s="189">
        <v>0.01</v>
      </c>
      <c r="N11" s="190" t="s">
        <v>417</v>
      </c>
      <c r="O11" s="191">
        <v>0.011805555555555555</v>
      </c>
      <c r="P11" s="191">
        <v>0.009027777777777777</v>
      </c>
      <c r="Q11" s="191">
        <v>0.011111111111111112</v>
      </c>
      <c r="R11" s="191">
        <v>0.029166666666666667</v>
      </c>
      <c r="S11" s="191">
        <v>0.00625</v>
      </c>
      <c r="T11" s="191">
        <v>0.006944444444444444</v>
      </c>
      <c r="U11" s="191">
        <v>0.007638888888888889</v>
      </c>
      <c r="V11" s="191">
        <v>0.004166666666666667</v>
      </c>
      <c r="W11" s="191">
        <v>0.004166666666666667</v>
      </c>
      <c r="X11" s="191">
        <v>0.013194444444444444</v>
      </c>
      <c r="Y11" s="192">
        <v>0.15</v>
      </c>
    </row>
    <row r="13">
      <c r="D13" s="77" t="s">
        <v>418</v>
      </c>
      <c r="Q13" s="20" t="s">
        <v>419</v>
      </c>
    </row>
    <row r="17">
      <c r="D17" s="128" t="s">
        <v>395</v>
      </c>
      <c r="E17" s="193" t="s">
        <v>420</v>
      </c>
      <c r="F17" s="127" t="s">
        <v>421</v>
      </c>
    </row>
    <row r="18">
      <c r="E18" s="194" t="s">
        <v>422</v>
      </c>
      <c r="F18" s="195" t="s">
        <v>423</v>
      </c>
    </row>
    <row r="19">
      <c r="D19" s="196" t="s">
        <v>411</v>
      </c>
      <c r="E19" s="197">
        <f t="shared" ref="E19:E21" si="1">AVERAGE(L2,Y2,Y9)</f>
        <v>2.671666667</v>
      </c>
      <c r="F19" s="198">
        <v>1.46</v>
      </c>
    </row>
    <row r="20">
      <c r="D20" s="132" t="s">
        <v>414</v>
      </c>
      <c r="E20" s="199">
        <f t="shared" si="1"/>
        <v>2.549</v>
      </c>
      <c r="F20" s="195">
        <v>1.09</v>
      </c>
    </row>
    <row r="21">
      <c r="D21" s="136" t="s">
        <v>417</v>
      </c>
      <c r="E21" s="200">
        <f t="shared" si="1"/>
        <v>0.6116666667</v>
      </c>
      <c r="F21" s="201">
        <v>0.01</v>
      </c>
    </row>
  </sheetData>
  <dataValidations>
    <dataValidation type="custom" allowBlank="1" showDropDown="1" sqref="E18:E21">
      <formula1>AND(ISNUMBER(E18),(NOT(OR(NOT(ISERROR(DATEVALUE(E18))), AND(ISNUMBER(E18), LEFT(CELL("format", E18))="D")))))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8.44"/>
  </cols>
  <sheetData>
    <row r="2">
      <c r="A2" s="202" t="s">
        <v>424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>
      <c r="A3" s="15"/>
      <c r="M3" s="16"/>
    </row>
    <row r="4">
      <c r="A4" s="203"/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5"/>
    </row>
    <row r="5">
      <c r="A5" s="206" t="s">
        <v>13</v>
      </c>
      <c r="B5" s="207">
        <v>1.3234143518518517</v>
      </c>
      <c r="C5" s="207">
        <v>1.3234027777777777</v>
      </c>
      <c r="D5" s="207">
        <v>1.3233912037037037</v>
      </c>
      <c r="E5" s="207">
        <v>1.3233796296296296</v>
      </c>
      <c r="F5" s="207">
        <v>1.3233680555555556</v>
      </c>
      <c r="G5" s="207">
        <v>1.3233564814814816</v>
      </c>
      <c r="H5" s="207">
        <v>1.3233449074074075</v>
      </c>
      <c r="I5" s="207">
        <v>1.3233333333333333</v>
      </c>
      <c r="J5" s="207">
        <v>1.3233217592592592</v>
      </c>
      <c r="K5" s="207">
        <v>1.3233101851851852</v>
      </c>
      <c r="L5" s="208" t="s">
        <v>407</v>
      </c>
      <c r="M5" s="209" t="s">
        <v>25</v>
      </c>
    </row>
    <row r="6">
      <c r="A6" s="54" t="s">
        <v>425</v>
      </c>
      <c r="B6" s="210">
        <v>0.05</v>
      </c>
      <c r="C6" s="210">
        <v>0.04</v>
      </c>
      <c r="D6" s="210">
        <v>0.06</v>
      </c>
      <c r="E6" s="210">
        <v>0.0</v>
      </c>
      <c r="F6" s="210">
        <v>0.06</v>
      </c>
      <c r="G6" s="210">
        <v>0.07</v>
      </c>
      <c r="H6" s="210">
        <v>0.07</v>
      </c>
      <c r="I6" s="210">
        <v>0.06</v>
      </c>
      <c r="J6" s="210">
        <v>0.05</v>
      </c>
      <c r="K6" s="210">
        <v>0.03</v>
      </c>
      <c r="L6" s="211">
        <v>0.48</v>
      </c>
      <c r="M6" s="212">
        <v>0.05</v>
      </c>
    </row>
    <row r="7">
      <c r="A7" s="54" t="s">
        <v>426</v>
      </c>
      <c r="B7" s="210">
        <v>0.48</v>
      </c>
      <c r="C7" s="210">
        <v>0.48</v>
      </c>
      <c r="D7" s="210">
        <v>0.46</v>
      </c>
      <c r="E7" s="210">
        <v>0.45</v>
      </c>
      <c r="F7" s="210">
        <v>0.48</v>
      </c>
      <c r="G7" s="210">
        <v>0.5</v>
      </c>
      <c r="H7" s="210">
        <v>0.49</v>
      </c>
      <c r="I7" s="210">
        <v>0.5</v>
      </c>
      <c r="J7" s="210">
        <v>0.5</v>
      </c>
      <c r="K7" s="210">
        <v>0.5</v>
      </c>
      <c r="L7" s="211">
        <v>-0.05</v>
      </c>
      <c r="M7" s="212">
        <v>0.49</v>
      </c>
    </row>
    <row r="8">
      <c r="A8" s="54" t="s">
        <v>427</v>
      </c>
      <c r="B8" s="210">
        <v>0.04</v>
      </c>
      <c r="C8" s="210">
        <v>0.02</v>
      </c>
      <c r="D8" s="210">
        <v>0.05</v>
      </c>
      <c r="E8" s="210">
        <v>-0.03</v>
      </c>
      <c r="F8" s="210">
        <v>0.04</v>
      </c>
      <c r="G8" s="210">
        <v>0.04</v>
      </c>
      <c r="H8" s="210">
        <v>0.04</v>
      </c>
      <c r="I8" s="210">
        <v>0.02</v>
      </c>
      <c r="J8" s="210">
        <v>0.03</v>
      </c>
      <c r="K8" s="210">
        <v>-0.11</v>
      </c>
      <c r="L8" s="211">
        <v>-1.37</v>
      </c>
      <c r="M8" s="212">
        <v>0.02</v>
      </c>
    </row>
    <row r="9">
      <c r="A9" s="54" t="s">
        <v>428</v>
      </c>
      <c r="B9" s="210">
        <v>0.23</v>
      </c>
      <c r="C9" s="210">
        <v>0.32</v>
      </c>
      <c r="D9" s="210">
        <v>0.27</v>
      </c>
      <c r="E9" s="213">
        <v>-0.04</v>
      </c>
      <c r="F9" s="210">
        <v>0.32</v>
      </c>
      <c r="G9" s="210">
        <v>0.32</v>
      </c>
      <c r="H9" s="210">
        <v>0.26</v>
      </c>
      <c r="I9" s="210">
        <v>0.47</v>
      </c>
      <c r="J9" s="210">
        <v>0.36</v>
      </c>
      <c r="K9" s="213">
        <v>-0.18</v>
      </c>
      <c r="L9" s="211">
        <v>-2.28</v>
      </c>
      <c r="M9" s="212">
        <v>0.23</v>
      </c>
    </row>
    <row r="10">
      <c r="A10" s="54" t="s">
        <v>429</v>
      </c>
      <c r="B10" s="214">
        <v>0.067</v>
      </c>
      <c r="C10" s="214">
        <v>0.0385</v>
      </c>
      <c r="D10" s="214">
        <v>0.066</v>
      </c>
      <c r="E10" s="214">
        <v>-0.0412</v>
      </c>
      <c r="F10" s="214">
        <v>0.0609</v>
      </c>
      <c r="G10" s="214">
        <v>0.0556</v>
      </c>
      <c r="H10" s="214">
        <v>0.0594</v>
      </c>
      <c r="I10" s="214">
        <v>0.0278</v>
      </c>
      <c r="J10" s="214">
        <v>0.0431</v>
      </c>
      <c r="K10" s="214">
        <v>-0.2951</v>
      </c>
      <c r="L10" s="211">
        <v>-1.23</v>
      </c>
      <c r="M10" s="212">
        <v>0.01</v>
      </c>
    </row>
    <row r="11">
      <c r="A11" s="54" t="s">
        <v>430</v>
      </c>
      <c r="B11" s="210">
        <v>0.07</v>
      </c>
      <c r="C11" s="210">
        <v>0.04</v>
      </c>
      <c r="D11" s="210">
        <v>0.06</v>
      </c>
      <c r="E11" s="210">
        <v>-0.04</v>
      </c>
      <c r="F11" s="210">
        <v>0.06</v>
      </c>
      <c r="G11" s="210">
        <v>0.05</v>
      </c>
      <c r="H11" s="210">
        <v>0.06</v>
      </c>
      <c r="I11" s="210">
        <v>0.03</v>
      </c>
      <c r="J11" s="210">
        <v>0.04</v>
      </c>
      <c r="K11" s="210">
        <v>-0.15</v>
      </c>
      <c r="L11" s="215">
        <v>-1.44</v>
      </c>
      <c r="M11" s="212">
        <v>0.02</v>
      </c>
    </row>
    <row r="12">
      <c r="A12" s="54" t="s">
        <v>431</v>
      </c>
      <c r="B12" s="210">
        <v>0.13</v>
      </c>
      <c r="C12" s="210">
        <v>0.08</v>
      </c>
      <c r="D12" s="210">
        <v>0.13</v>
      </c>
      <c r="E12" s="210">
        <v>-0.08</v>
      </c>
      <c r="F12" s="210">
        <v>0.11</v>
      </c>
      <c r="G12" s="210">
        <v>0.1</v>
      </c>
      <c r="H12" s="210">
        <v>0.12</v>
      </c>
      <c r="I12" s="210">
        <v>0.05</v>
      </c>
      <c r="J12" s="210">
        <v>0.08</v>
      </c>
      <c r="K12" s="216"/>
      <c r="L12" s="217"/>
      <c r="M12" s="212">
        <v>0.07</v>
      </c>
    </row>
    <row r="13">
      <c r="A13" s="54" t="s">
        <v>432</v>
      </c>
      <c r="B13" s="214">
        <v>0.129</v>
      </c>
      <c r="C13" s="214">
        <v>0.105</v>
      </c>
      <c r="D13" s="214">
        <v>0.1342</v>
      </c>
      <c r="E13" s="214">
        <v>0.0053</v>
      </c>
      <c r="F13" s="214">
        <v>0.1193</v>
      </c>
      <c r="G13" s="214">
        <v>0.1382</v>
      </c>
      <c r="H13" s="214">
        <v>0.1574</v>
      </c>
      <c r="I13" s="214">
        <v>0.1369</v>
      </c>
      <c r="J13" s="214">
        <v>0.1075</v>
      </c>
      <c r="K13" s="214">
        <v>0.076</v>
      </c>
      <c r="L13" s="215">
        <v>0.7</v>
      </c>
      <c r="M13" s="212">
        <v>0.11</v>
      </c>
    </row>
    <row r="14">
      <c r="A14" s="186" t="s">
        <v>433</v>
      </c>
      <c r="B14" s="218">
        <v>0.15</v>
      </c>
      <c r="C14" s="218">
        <v>0.33</v>
      </c>
      <c r="D14" s="218">
        <v>0.2</v>
      </c>
      <c r="E14" s="218">
        <v>-0.07</v>
      </c>
      <c r="F14" s="218">
        <v>0.09</v>
      </c>
      <c r="G14" s="218">
        <v>0.05</v>
      </c>
      <c r="H14" s="218">
        <v>0.1</v>
      </c>
      <c r="I14" s="218">
        <v>0.07</v>
      </c>
      <c r="J14" s="218">
        <v>0.05</v>
      </c>
      <c r="K14" s="219"/>
      <c r="L14" s="217"/>
      <c r="M14" s="220">
        <v>0.1</v>
      </c>
    </row>
    <row r="17">
      <c r="A17" s="221" t="s">
        <v>434</v>
      </c>
      <c r="B17" s="222">
        <v>2023.0</v>
      </c>
      <c r="C17" s="223">
        <v>2022.0</v>
      </c>
      <c r="D17" s="224">
        <v>2021.0</v>
      </c>
      <c r="E17" s="224">
        <v>2020.0</v>
      </c>
      <c r="F17" s="224">
        <v>2019.0</v>
      </c>
      <c r="G17" s="224">
        <v>2018.0</v>
      </c>
      <c r="H17" s="224">
        <v>2017.0</v>
      </c>
      <c r="I17" s="224">
        <v>2016.0</v>
      </c>
      <c r="J17" s="224">
        <v>2015.0</v>
      </c>
      <c r="K17" s="225">
        <v>2014.0</v>
      </c>
      <c r="L17" s="226" t="s">
        <v>398</v>
      </c>
    </row>
    <row r="18">
      <c r="A18" s="227" t="s">
        <v>435</v>
      </c>
      <c r="B18" s="228">
        <v>0.140128</v>
      </c>
      <c r="C18" s="229">
        <v>0.099306</v>
      </c>
      <c r="D18" s="230">
        <v>0.048862</v>
      </c>
      <c r="E18" s="230">
        <v>-0.07738</v>
      </c>
      <c r="F18" s="230">
        <v>0.128937</v>
      </c>
      <c r="G18" s="230">
        <v>0.161145</v>
      </c>
      <c r="H18" s="230">
        <v>0.186453</v>
      </c>
      <c r="I18" s="230">
        <v>0.184338</v>
      </c>
      <c r="J18" s="230">
        <v>0.179231</v>
      </c>
      <c r="K18" s="231">
        <v>0.19285</v>
      </c>
      <c r="L18" s="232">
        <v>0.124387</v>
      </c>
    </row>
    <row r="19">
      <c r="A19" s="233" t="s">
        <v>436</v>
      </c>
      <c r="B19" s="234">
        <v>0.760221</v>
      </c>
      <c r="C19" s="230">
        <v>0.734591</v>
      </c>
      <c r="D19" s="230">
        <v>0.72452</v>
      </c>
      <c r="E19" s="230">
        <v>0.717065</v>
      </c>
      <c r="F19" s="230">
        <v>0.769722</v>
      </c>
      <c r="G19" s="230">
        <v>0.790273</v>
      </c>
      <c r="H19" s="230">
        <v>0.754934</v>
      </c>
      <c r="I19" s="230">
        <v>0.751144</v>
      </c>
      <c r="J19" s="230">
        <v>0.741384</v>
      </c>
      <c r="K19" s="235">
        <v>0.744991</v>
      </c>
      <c r="L19" s="232">
        <v>0.748885</v>
      </c>
    </row>
    <row r="20">
      <c r="A20" s="236" t="s">
        <v>437</v>
      </c>
      <c r="B20" s="228">
        <v>0.096075</v>
      </c>
      <c r="C20" s="230">
        <v>0.064609</v>
      </c>
      <c r="D20" s="230">
        <v>0.013459</v>
      </c>
      <c r="E20" s="230">
        <v>-0.05005</v>
      </c>
      <c r="F20" s="230">
        <v>0.105812</v>
      </c>
      <c r="G20" s="230">
        <v>0.124311</v>
      </c>
      <c r="H20" s="230">
        <v>0.152913</v>
      </c>
      <c r="I20" s="230">
        <v>0.109552</v>
      </c>
      <c r="J20" s="230">
        <v>0.092784</v>
      </c>
      <c r="K20" s="237">
        <v>0.091362</v>
      </c>
      <c r="L20" s="232">
        <v>0.080083</v>
      </c>
    </row>
    <row r="21">
      <c r="A21" s="236" t="s">
        <v>438</v>
      </c>
      <c r="B21" s="228">
        <v>0.319552</v>
      </c>
      <c r="C21" s="230">
        <v>0.289688</v>
      </c>
      <c r="D21" s="230">
        <v>0.523329</v>
      </c>
      <c r="E21" s="230">
        <v>0.480706</v>
      </c>
      <c r="F21" s="230">
        <v>0.167648</v>
      </c>
      <c r="G21" s="230">
        <v>0.185781</v>
      </c>
      <c r="H21" s="230">
        <v>0.209554</v>
      </c>
      <c r="I21" s="230">
        <v>0.341116</v>
      </c>
      <c r="J21" s="230">
        <v>0.361969</v>
      </c>
      <c r="K21" s="237">
        <v>0.361767</v>
      </c>
      <c r="L21" s="232">
        <v>0.324111</v>
      </c>
    </row>
    <row r="22">
      <c r="A22" s="236" t="s">
        <v>439</v>
      </c>
      <c r="B22" s="228">
        <v>0.08303</v>
      </c>
      <c r="C22" s="230">
        <v>0.047459</v>
      </c>
      <c r="D22" s="230">
        <v>0.007661</v>
      </c>
      <c r="E22" s="230">
        <v>-0.02253</v>
      </c>
      <c r="F22" s="230">
        <v>0.105155</v>
      </c>
      <c r="G22" s="230">
        <v>0.129082</v>
      </c>
      <c r="H22" s="230">
        <v>0.16385</v>
      </c>
      <c r="I22" s="230">
        <v>0.113781</v>
      </c>
      <c r="J22" s="230">
        <v>0.092918</v>
      </c>
      <c r="K22" s="237">
        <v>0.168728</v>
      </c>
      <c r="L22" s="232">
        <v>0.088913</v>
      </c>
    </row>
    <row r="23">
      <c r="A23" s="236" t="s">
        <v>440</v>
      </c>
      <c r="B23" s="228">
        <v>0.082481</v>
      </c>
      <c r="C23" s="230">
        <v>0.095278</v>
      </c>
      <c r="D23" s="230">
        <v>0.015052</v>
      </c>
      <c r="E23" s="230">
        <v>-0.04902</v>
      </c>
      <c r="F23" s="230">
        <v>0.252064</v>
      </c>
      <c r="G23" s="230">
        <v>0.307708</v>
      </c>
      <c r="H23" s="230">
        <v>0.426594</v>
      </c>
      <c r="I23" s="230">
        <v>0.285003</v>
      </c>
      <c r="J23" s="230">
        <v>0.208083</v>
      </c>
      <c r="K23" s="237">
        <v>0.354368</v>
      </c>
      <c r="L23" s="232">
        <v>0.197761</v>
      </c>
    </row>
    <row r="24">
      <c r="A24" s="236" t="s">
        <v>441</v>
      </c>
      <c r="B24" s="228">
        <v>0.1696</v>
      </c>
      <c r="C24" s="228">
        <v>0.09467</v>
      </c>
      <c r="D24" s="228">
        <v>0.035847</v>
      </c>
      <c r="E24" s="228">
        <v>-0.03369</v>
      </c>
      <c r="F24" s="228">
        <v>0.172275</v>
      </c>
      <c r="G24" s="228">
        <v>0.223332</v>
      </c>
      <c r="H24" s="228">
        <v>0.280771</v>
      </c>
      <c r="I24" s="228">
        <v>0.296998</v>
      </c>
      <c r="J24" s="228">
        <v>0.248922</v>
      </c>
      <c r="K24" s="228">
        <v>0.285442</v>
      </c>
      <c r="L24" s="238">
        <v>0.177416</v>
      </c>
    </row>
    <row r="25">
      <c r="A25" s="239" t="s">
        <v>442</v>
      </c>
      <c r="B25" s="228">
        <v>0.116282</v>
      </c>
      <c r="C25" s="228">
        <v>0.061593</v>
      </c>
      <c r="D25" s="228">
        <v>0.009874</v>
      </c>
      <c r="E25" s="228">
        <v>-0.02179</v>
      </c>
      <c r="F25" s="228">
        <v>0.141377</v>
      </c>
      <c r="G25" s="228">
        <v>0.172284</v>
      </c>
      <c r="H25" s="228">
        <v>0.230264</v>
      </c>
      <c r="I25" s="228">
        <v>0.176505</v>
      </c>
      <c r="J25" s="228">
        <v>0.128861</v>
      </c>
      <c r="K25" s="228">
        <v>0.135226</v>
      </c>
      <c r="L25" s="238">
        <v>0.115048</v>
      </c>
    </row>
    <row r="26">
      <c r="A26" s="240" t="s">
        <v>443</v>
      </c>
      <c r="B26" s="228">
        <v>0.291681</v>
      </c>
      <c r="C26" s="230">
        <v>0.355592</v>
      </c>
      <c r="D26" s="230">
        <v>0.506217</v>
      </c>
      <c r="E26" s="230">
        <v>-0.41387</v>
      </c>
      <c r="F26" s="230">
        <v>0.026059</v>
      </c>
      <c r="G26" s="230">
        <v>0.115133</v>
      </c>
      <c r="H26" s="230">
        <v>0.209408</v>
      </c>
      <c r="I26" s="230">
        <v>0.157529</v>
      </c>
      <c r="J26" s="230">
        <v>0.156382</v>
      </c>
      <c r="K26" s="230">
        <v>0.0</v>
      </c>
      <c r="L26" s="238">
        <v>0.140413</v>
      </c>
    </row>
    <row r="28">
      <c r="A28" s="241" t="s">
        <v>444</v>
      </c>
      <c r="B28" s="17">
        <v>2023.0</v>
      </c>
      <c r="C28" s="17">
        <v>2022.0</v>
      </c>
      <c r="D28" s="17">
        <v>2021.0</v>
      </c>
      <c r="E28" s="17">
        <v>2020.0</v>
      </c>
      <c r="F28" s="17">
        <v>2019.0</v>
      </c>
      <c r="G28" s="17">
        <v>2018.0</v>
      </c>
      <c r="H28" s="17">
        <v>2017.0</v>
      </c>
      <c r="I28" s="17">
        <v>2016.0</v>
      </c>
      <c r="J28" s="17">
        <v>2015.0</v>
      </c>
      <c r="K28" s="17">
        <v>2014.0</v>
      </c>
      <c r="L28" s="141" t="s">
        <v>398</v>
      </c>
    </row>
    <row r="29">
      <c r="A29" s="242" t="s">
        <v>445</v>
      </c>
      <c r="B29" s="243">
        <v>0.17</v>
      </c>
      <c r="C29" s="243">
        <v>0.05</v>
      </c>
      <c r="D29" s="243">
        <v>0.04</v>
      </c>
      <c r="E29" s="243">
        <v>0.03</v>
      </c>
      <c r="F29" s="243">
        <v>0.16</v>
      </c>
      <c r="G29" s="243">
        <v>0.09</v>
      </c>
      <c r="H29" s="243">
        <v>0.08</v>
      </c>
      <c r="I29" s="243">
        <v>0.04</v>
      </c>
      <c r="J29" s="243">
        <v>-0.01</v>
      </c>
      <c r="K29" s="243">
        <v>0.04</v>
      </c>
      <c r="L29" s="243">
        <v>0.07</v>
      </c>
    </row>
    <row r="30">
      <c r="A30" s="244" t="s">
        <v>446</v>
      </c>
      <c r="B30" s="245">
        <v>0.71</v>
      </c>
      <c r="C30" s="245">
        <v>0.58</v>
      </c>
      <c r="D30" s="245">
        <v>0.6</v>
      </c>
      <c r="E30" s="245">
        <v>0.71</v>
      </c>
      <c r="F30" s="245">
        <v>0.71</v>
      </c>
      <c r="G30" s="245">
        <v>0.71</v>
      </c>
      <c r="H30" s="245">
        <v>0.65</v>
      </c>
      <c r="I30" s="245">
        <v>0.71</v>
      </c>
      <c r="J30" s="245">
        <v>0.71</v>
      </c>
      <c r="K30" s="245">
        <v>0.72</v>
      </c>
      <c r="L30" s="245">
        <v>0.68</v>
      </c>
    </row>
    <row r="31">
      <c r="A31" s="246" t="s">
        <v>447</v>
      </c>
      <c r="B31" s="247">
        <v>0.12</v>
      </c>
      <c r="C31" s="247">
        <v>0.04</v>
      </c>
      <c r="D31" s="247">
        <v>0.03</v>
      </c>
      <c r="E31" s="247">
        <v>0.03</v>
      </c>
      <c r="F31" s="247">
        <v>0.13</v>
      </c>
      <c r="G31" s="247">
        <v>0.06</v>
      </c>
      <c r="H31" s="247">
        <v>0.05</v>
      </c>
      <c r="I31" s="247">
        <v>0.03</v>
      </c>
      <c r="J31" s="247">
        <v>-0.08</v>
      </c>
      <c r="K31" s="247">
        <v>0.01</v>
      </c>
      <c r="L31" s="247">
        <v>0.04</v>
      </c>
    </row>
    <row r="32">
      <c r="A32" s="50" t="s">
        <v>439</v>
      </c>
      <c r="B32" s="51">
        <v>0.11</v>
      </c>
      <c r="C32" s="51">
        <v>0.03</v>
      </c>
      <c r="D32" s="51">
        <v>0.02</v>
      </c>
      <c r="E32" s="51">
        <v>0.02</v>
      </c>
      <c r="F32" s="51">
        <v>0.1</v>
      </c>
      <c r="G32" s="51">
        <v>0.08</v>
      </c>
      <c r="H32" s="51">
        <v>0.08</v>
      </c>
      <c r="I32" s="51">
        <v>0.04</v>
      </c>
      <c r="J32" s="51">
        <v>-0.11</v>
      </c>
      <c r="K32" s="51">
        <v>0.01</v>
      </c>
      <c r="L32" s="51">
        <v>0.04</v>
      </c>
    </row>
    <row r="33">
      <c r="A33" s="248" t="s">
        <v>448</v>
      </c>
      <c r="B33" s="249">
        <v>0.16</v>
      </c>
      <c r="C33" s="249">
        <v>0.04</v>
      </c>
      <c r="D33" s="249">
        <v>0.03</v>
      </c>
      <c r="E33" s="249">
        <v>0.02</v>
      </c>
      <c r="F33" s="249">
        <v>0.12</v>
      </c>
      <c r="G33" s="249">
        <v>0.08</v>
      </c>
      <c r="H33" s="249">
        <v>0.1</v>
      </c>
      <c r="I33" s="249">
        <v>0.05</v>
      </c>
      <c r="J33" s="249">
        <v>-0.15</v>
      </c>
      <c r="K33" s="249">
        <v>0.02</v>
      </c>
      <c r="L33" s="249">
        <v>0.05</v>
      </c>
    </row>
    <row r="34">
      <c r="A34" s="155" t="s">
        <v>440</v>
      </c>
      <c r="B34" s="157">
        <v>0.19</v>
      </c>
      <c r="C34" s="157">
        <v>0.05</v>
      </c>
      <c r="D34" s="157">
        <v>0.04</v>
      </c>
      <c r="E34" s="157">
        <v>0.02</v>
      </c>
      <c r="F34" s="157">
        <v>0.15</v>
      </c>
      <c r="G34" s="157">
        <v>0.11</v>
      </c>
      <c r="H34" s="157">
        <v>0.11</v>
      </c>
      <c r="I34" s="157">
        <v>0.06</v>
      </c>
      <c r="J34" s="157">
        <v>-0.2</v>
      </c>
      <c r="K34" s="157">
        <v>0.03</v>
      </c>
      <c r="L34" s="157">
        <v>0.06</v>
      </c>
    </row>
    <row r="35">
      <c r="A35" s="162" t="s">
        <v>449</v>
      </c>
      <c r="B35" s="164">
        <v>0.34</v>
      </c>
      <c r="C35" s="164">
        <v>0.19</v>
      </c>
      <c r="D35" s="164">
        <v>0.17</v>
      </c>
      <c r="E35" s="164">
        <v>0.1</v>
      </c>
      <c r="F35" s="164">
        <v>0.23</v>
      </c>
      <c r="G35" s="164">
        <v>0.3</v>
      </c>
      <c r="H35" s="164">
        <v>0.42</v>
      </c>
      <c r="I35" s="164">
        <v>0.47</v>
      </c>
      <c r="J35" s="164">
        <v>0.39</v>
      </c>
      <c r="K35" s="164">
        <v>0.39</v>
      </c>
      <c r="L35" s="164">
        <v>0.3</v>
      </c>
    </row>
    <row r="36">
      <c r="A36" s="147" t="s">
        <v>443</v>
      </c>
      <c r="B36" s="250">
        <v>0.39</v>
      </c>
      <c r="C36" s="250">
        <v>0.11</v>
      </c>
      <c r="D36" s="250">
        <v>0.52</v>
      </c>
      <c r="E36" s="250">
        <v>-0.01</v>
      </c>
      <c r="F36" s="250">
        <v>-0.19</v>
      </c>
      <c r="G36" s="250">
        <v>-0.04</v>
      </c>
      <c r="H36" s="250">
        <v>-0.06</v>
      </c>
      <c r="I36" s="250">
        <v>0.05</v>
      </c>
      <c r="J36" s="250">
        <v>0.08</v>
      </c>
      <c r="K36" s="250">
        <v>0.0</v>
      </c>
      <c r="L36" s="250">
        <v>0.08</v>
      </c>
    </row>
    <row r="38">
      <c r="A38" s="251" t="s">
        <v>450</v>
      </c>
      <c r="B38" s="252">
        <v>2023.0</v>
      </c>
      <c r="C38" s="252">
        <v>2022.0</v>
      </c>
      <c r="D38" s="252">
        <v>2021.0</v>
      </c>
      <c r="E38" s="252">
        <v>2020.0</v>
      </c>
      <c r="F38" s="252">
        <v>2019.0</v>
      </c>
      <c r="G38" s="252">
        <v>2018.0</v>
      </c>
      <c r="H38" s="252">
        <v>2017.0</v>
      </c>
      <c r="I38" s="252">
        <v>2016.0</v>
      </c>
      <c r="J38" s="252">
        <v>2015.0</v>
      </c>
      <c r="K38" s="252">
        <v>2014.0</v>
      </c>
      <c r="L38" s="253" t="s">
        <v>398</v>
      </c>
    </row>
    <row r="39">
      <c r="A39" s="254" t="s">
        <v>425</v>
      </c>
      <c r="B39" s="255">
        <v>-0.08274732</v>
      </c>
      <c r="C39" s="255">
        <v>0.034196653</v>
      </c>
      <c r="D39" s="255">
        <v>0.050029232</v>
      </c>
      <c r="E39" s="255">
        <v>-0.012386813</v>
      </c>
      <c r="F39" s="255">
        <v>0.007707855</v>
      </c>
      <c r="G39" s="255">
        <v>-0.021272172</v>
      </c>
      <c r="H39" s="255">
        <v>-0.049280316</v>
      </c>
      <c r="I39" s="255">
        <v>-0.124393554</v>
      </c>
      <c r="J39" s="255">
        <v>-0.184675156</v>
      </c>
      <c r="K39" s="255">
        <v>-0.249328576</v>
      </c>
      <c r="L39" s="256">
        <f t="shared" ref="L39:L46" si="1">AVERAGE(B39:K39)</f>
        <v>-0.0632150167</v>
      </c>
    </row>
    <row r="40">
      <c r="A40" s="257" t="s">
        <v>426</v>
      </c>
      <c r="B40" s="255">
        <v>0.466234762</v>
      </c>
      <c r="C40" s="255">
        <v>0.480426566</v>
      </c>
      <c r="D40" s="255">
        <v>0.485506413</v>
      </c>
      <c r="E40" s="255">
        <v>0.497676489</v>
      </c>
      <c r="F40" s="255">
        <v>0.495947132</v>
      </c>
      <c r="G40" s="255">
        <v>0.507702676</v>
      </c>
      <c r="H40" s="255">
        <v>0.483925352</v>
      </c>
      <c r="I40" s="255">
        <v>0.503169702</v>
      </c>
      <c r="J40" s="255">
        <v>0.513286518</v>
      </c>
      <c r="K40" s="255">
        <v>0.515462816</v>
      </c>
      <c r="L40" s="256">
        <f t="shared" si="1"/>
        <v>0.4949338426</v>
      </c>
    </row>
    <row r="41">
      <c r="A41" s="258" t="s">
        <v>427</v>
      </c>
      <c r="B41" s="255">
        <v>-0.153202719</v>
      </c>
      <c r="C41" s="255">
        <v>0.016981169</v>
      </c>
      <c r="D41" s="255">
        <v>0.035795435</v>
      </c>
      <c r="E41" s="255">
        <v>-0.016342765</v>
      </c>
      <c r="F41" s="255">
        <v>0.001135855</v>
      </c>
      <c r="G41" s="255">
        <v>-0.023153144</v>
      </c>
      <c r="H41" s="255">
        <v>-0.047701837</v>
      </c>
      <c r="I41" s="255">
        <v>-0.09867055</v>
      </c>
      <c r="J41" s="255">
        <v>-0.149959058</v>
      </c>
      <c r="K41" s="255">
        <v>-0.197981765</v>
      </c>
      <c r="L41" s="256">
        <f t="shared" si="1"/>
        <v>-0.0633099379</v>
      </c>
    </row>
    <row r="42">
      <c r="A42" s="259" t="s">
        <v>429</v>
      </c>
      <c r="B42" s="255">
        <v>-0.115403247</v>
      </c>
      <c r="C42" s="255">
        <v>0.014577546</v>
      </c>
      <c r="D42" s="255">
        <v>0.0296781</v>
      </c>
      <c r="E42" s="255">
        <v>-0.010613857</v>
      </c>
      <c r="F42" s="255">
        <v>0.001095265</v>
      </c>
      <c r="G42" s="255">
        <v>-0.0287908</v>
      </c>
      <c r="H42" s="255">
        <v>-0.058334301</v>
      </c>
      <c r="I42" s="255">
        <v>-0.103656077</v>
      </c>
      <c r="J42" s="255">
        <v>-0.144434668</v>
      </c>
      <c r="K42" s="255">
        <v>-0.347860492</v>
      </c>
      <c r="L42" s="256">
        <f t="shared" si="1"/>
        <v>-0.0763742531</v>
      </c>
    </row>
    <row r="43">
      <c r="A43" s="260" t="s">
        <v>430</v>
      </c>
      <c r="B43" s="255">
        <v>-0.224417134</v>
      </c>
      <c r="C43" s="255">
        <v>0.030927885</v>
      </c>
      <c r="D43" s="255">
        <v>0.059558667</v>
      </c>
      <c r="E43" s="255">
        <v>-0.019576571</v>
      </c>
      <c r="F43" s="255">
        <v>0.001360785</v>
      </c>
      <c r="G43" s="255">
        <v>-0.075213041</v>
      </c>
      <c r="H43" s="255">
        <v>-0.139991227</v>
      </c>
      <c r="I43" s="255">
        <v>-0.307275206</v>
      </c>
      <c r="J43" s="255">
        <v>-0.28450044</v>
      </c>
      <c r="K43" s="255">
        <v>-0.407963484</v>
      </c>
      <c r="L43" s="256">
        <f t="shared" si="1"/>
        <v>-0.1367089766</v>
      </c>
    </row>
    <row r="44">
      <c r="A44" s="261" t="s">
        <v>431</v>
      </c>
      <c r="B44" s="255">
        <v>-0.583840596</v>
      </c>
      <c r="C44" s="255">
        <v>0.066786096</v>
      </c>
      <c r="D44" s="255">
        <v>0.142241592</v>
      </c>
      <c r="E44" s="255">
        <v>-0.055391933</v>
      </c>
      <c r="F44" s="255">
        <v>0.003838917</v>
      </c>
      <c r="G44" s="255">
        <v>-0.12900574</v>
      </c>
      <c r="H44" s="255">
        <v>-0.293849221</v>
      </c>
      <c r="I44" s="255">
        <v>-0.641845382</v>
      </c>
      <c r="J44" s="255">
        <v>-0.517234975</v>
      </c>
      <c r="K44" s="255">
        <v>-0.627819967</v>
      </c>
      <c r="L44" s="256">
        <f t="shared" si="1"/>
        <v>-0.2636121209</v>
      </c>
    </row>
    <row r="45">
      <c r="A45" s="262" t="s">
        <v>432</v>
      </c>
      <c r="B45" s="255">
        <v>-0.121211402</v>
      </c>
      <c r="C45" s="255">
        <v>0.06228253</v>
      </c>
      <c r="D45" s="255">
        <v>0.083241741</v>
      </c>
      <c r="E45" s="255">
        <v>-0.014837839</v>
      </c>
      <c r="F45" s="255">
        <v>0.009234213</v>
      </c>
      <c r="G45" s="255">
        <v>-0.069086864</v>
      </c>
      <c r="H45" s="255">
        <v>-0.144623609</v>
      </c>
      <c r="I45" s="255">
        <v>-0.38738058</v>
      </c>
      <c r="J45" s="255">
        <v>-0.350363386</v>
      </c>
      <c r="K45" s="255">
        <v>0.306551214</v>
      </c>
      <c r="L45" s="256">
        <f t="shared" si="1"/>
        <v>-0.0626193982</v>
      </c>
    </row>
    <row r="46">
      <c r="A46" s="263" t="s">
        <v>433</v>
      </c>
      <c r="B46" s="255">
        <v>-0.051762268</v>
      </c>
      <c r="C46" s="255">
        <v>0.064186283</v>
      </c>
      <c r="D46" s="255">
        <v>0.401234246</v>
      </c>
      <c r="E46" s="255">
        <v>-0.049305825</v>
      </c>
      <c r="F46" s="255">
        <v>0.067487902</v>
      </c>
      <c r="G46" s="255">
        <v>0.089982842</v>
      </c>
      <c r="H46" s="255">
        <v>0.258497148</v>
      </c>
      <c r="I46" s="255">
        <v>0.148670409</v>
      </c>
      <c r="J46" s="255">
        <v>0.171419426</v>
      </c>
      <c r="K46" s="255">
        <v>0.0</v>
      </c>
      <c r="L46" s="256">
        <f t="shared" si="1"/>
        <v>0.1100410163</v>
      </c>
    </row>
    <row r="49" ht="20.25" customHeight="1">
      <c r="A49" s="264" t="s">
        <v>451</v>
      </c>
      <c r="B49" s="265">
        <v>2023.0</v>
      </c>
      <c r="C49" s="265">
        <v>2022.0</v>
      </c>
      <c r="D49" s="265">
        <v>2021.0</v>
      </c>
      <c r="E49" s="265">
        <v>2020.0</v>
      </c>
      <c r="F49" s="265">
        <v>2019.0</v>
      </c>
      <c r="G49" s="265">
        <v>2018.0</v>
      </c>
      <c r="H49" s="265">
        <v>2017.0</v>
      </c>
      <c r="I49" s="265">
        <v>2016.0</v>
      </c>
      <c r="J49" s="265">
        <v>2015.0</v>
      </c>
      <c r="K49" s="265">
        <v>2014.0</v>
      </c>
      <c r="L49" s="266" t="s">
        <v>0</v>
      </c>
    </row>
    <row r="50">
      <c r="A50" s="267" t="s">
        <v>452</v>
      </c>
      <c r="B50" s="268"/>
      <c r="C50" s="268"/>
      <c r="D50" s="268"/>
      <c r="E50" s="268"/>
      <c r="F50" s="268"/>
      <c r="G50" s="268"/>
      <c r="H50" s="268"/>
      <c r="I50" s="268"/>
      <c r="J50" s="268"/>
      <c r="K50" s="268"/>
      <c r="L50" s="269"/>
    </row>
    <row r="51">
      <c r="A51" s="270" t="s">
        <v>453</v>
      </c>
      <c r="B51" s="271">
        <f t="shared" ref="B51:K51" si="2">B6</f>
        <v>0.05</v>
      </c>
      <c r="C51" s="271">
        <f t="shared" si="2"/>
        <v>0.04</v>
      </c>
      <c r="D51" s="271">
        <f t="shared" si="2"/>
        <v>0.06</v>
      </c>
      <c r="E51" s="271">
        <f t="shared" si="2"/>
        <v>0</v>
      </c>
      <c r="F51" s="271">
        <f t="shared" si="2"/>
        <v>0.06</v>
      </c>
      <c r="G51" s="271">
        <f t="shared" si="2"/>
        <v>0.07</v>
      </c>
      <c r="H51" s="271">
        <f t="shared" si="2"/>
        <v>0.07</v>
      </c>
      <c r="I51" s="271">
        <f t="shared" si="2"/>
        <v>0.06</v>
      </c>
      <c r="J51" s="271">
        <f t="shared" si="2"/>
        <v>0.05</v>
      </c>
      <c r="K51" s="271">
        <f t="shared" si="2"/>
        <v>0.03</v>
      </c>
      <c r="L51" s="272">
        <f>M6</f>
        <v>0.05</v>
      </c>
    </row>
    <row r="52">
      <c r="A52" s="273" t="s">
        <v>454</v>
      </c>
      <c r="B52" s="274">
        <f t="shared" ref="B52:L52" si="3">average(B39,B29,B18)</f>
        <v>0.07579356</v>
      </c>
      <c r="C52" s="274">
        <f t="shared" si="3"/>
        <v>0.061167551</v>
      </c>
      <c r="D52" s="274">
        <f t="shared" si="3"/>
        <v>0.04629707733</v>
      </c>
      <c r="E52" s="274">
        <f t="shared" si="3"/>
        <v>-0.019922271</v>
      </c>
      <c r="F52" s="274">
        <f t="shared" si="3"/>
        <v>0.09888161833</v>
      </c>
      <c r="G52" s="274">
        <f t="shared" si="3"/>
        <v>0.076624276</v>
      </c>
      <c r="H52" s="274">
        <f t="shared" si="3"/>
        <v>0.07239089467</v>
      </c>
      <c r="I52" s="274">
        <f t="shared" si="3"/>
        <v>0.03331481533</v>
      </c>
      <c r="J52" s="274">
        <f t="shared" si="3"/>
        <v>-0.005148052</v>
      </c>
      <c r="K52" s="274">
        <f t="shared" si="3"/>
        <v>-0.005492858667</v>
      </c>
      <c r="L52" s="275">
        <f t="shared" si="3"/>
        <v>0.04372399443</v>
      </c>
    </row>
    <row r="53">
      <c r="A53" s="276" t="s">
        <v>446</v>
      </c>
      <c r="B53" s="277"/>
      <c r="C53" s="277"/>
      <c r="D53" s="277"/>
      <c r="E53" s="277"/>
      <c r="F53" s="277"/>
      <c r="G53" s="277"/>
      <c r="H53" s="277"/>
      <c r="I53" s="277"/>
      <c r="J53" s="277"/>
      <c r="K53" s="277"/>
      <c r="L53" s="278"/>
    </row>
    <row r="54">
      <c r="A54" s="270" t="s">
        <v>453</v>
      </c>
      <c r="B54" s="271">
        <f t="shared" ref="B54:K54" si="4">B7</f>
        <v>0.48</v>
      </c>
      <c r="C54" s="271">
        <f t="shared" si="4"/>
        <v>0.48</v>
      </c>
      <c r="D54" s="271">
        <f t="shared" si="4"/>
        <v>0.46</v>
      </c>
      <c r="E54" s="271">
        <f t="shared" si="4"/>
        <v>0.45</v>
      </c>
      <c r="F54" s="271">
        <f t="shared" si="4"/>
        <v>0.48</v>
      </c>
      <c r="G54" s="271">
        <f t="shared" si="4"/>
        <v>0.5</v>
      </c>
      <c r="H54" s="271">
        <f t="shared" si="4"/>
        <v>0.49</v>
      </c>
      <c r="I54" s="271">
        <f t="shared" si="4"/>
        <v>0.5</v>
      </c>
      <c r="J54" s="271">
        <f t="shared" si="4"/>
        <v>0.5</v>
      </c>
      <c r="K54" s="271">
        <f t="shared" si="4"/>
        <v>0.5</v>
      </c>
      <c r="L54" s="272">
        <f>M7</f>
        <v>0.49</v>
      </c>
    </row>
    <row r="55">
      <c r="A55" s="273" t="s">
        <v>454</v>
      </c>
      <c r="B55" s="279">
        <f t="shared" ref="B55:L55" si="5">AVERAGE(B40,B30,B19)</f>
        <v>0.645485254</v>
      </c>
      <c r="C55" s="279">
        <f t="shared" si="5"/>
        <v>0.5983391887</v>
      </c>
      <c r="D55" s="279">
        <f t="shared" si="5"/>
        <v>0.6033421377</v>
      </c>
      <c r="E55" s="279">
        <f t="shared" si="5"/>
        <v>0.6415804963</v>
      </c>
      <c r="F55" s="279">
        <f t="shared" si="5"/>
        <v>0.6585563773</v>
      </c>
      <c r="G55" s="279">
        <f t="shared" si="5"/>
        <v>0.6693252253</v>
      </c>
      <c r="H55" s="279">
        <f t="shared" si="5"/>
        <v>0.629619784</v>
      </c>
      <c r="I55" s="279">
        <f t="shared" si="5"/>
        <v>0.654771234</v>
      </c>
      <c r="J55" s="279">
        <f t="shared" si="5"/>
        <v>0.6548901727</v>
      </c>
      <c r="K55" s="279">
        <f t="shared" si="5"/>
        <v>0.660151272</v>
      </c>
      <c r="L55" s="280">
        <f t="shared" si="5"/>
        <v>0.6412729475</v>
      </c>
    </row>
    <row r="56">
      <c r="A56" s="276" t="s">
        <v>437</v>
      </c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2"/>
    </row>
    <row r="57">
      <c r="A57" s="270" t="s">
        <v>453</v>
      </c>
      <c r="B57" s="271">
        <f t="shared" ref="B57:K57" si="6">B8</f>
        <v>0.04</v>
      </c>
      <c r="C57" s="271">
        <f t="shared" si="6"/>
        <v>0.02</v>
      </c>
      <c r="D57" s="271">
        <f t="shared" si="6"/>
        <v>0.05</v>
      </c>
      <c r="E57" s="271">
        <f t="shared" si="6"/>
        <v>-0.03</v>
      </c>
      <c r="F57" s="271">
        <f t="shared" si="6"/>
        <v>0.04</v>
      </c>
      <c r="G57" s="271">
        <f t="shared" si="6"/>
        <v>0.04</v>
      </c>
      <c r="H57" s="271">
        <f t="shared" si="6"/>
        <v>0.04</v>
      </c>
      <c r="I57" s="271">
        <f t="shared" si="6"/>
        <v>0.02</v>
      </c>
      <c r="J57" s="271">
        <f t="shared" si="6"/>
        <v>0.03</v>
      </c>
      <c r="K57" s="271">
        <f t="shared" si="6"/>
        <v>-0.11</v>
      </c>
      <c r="L57" s="272">
        <f>M8</f>
        <v>0.02</v>
      </c>
    </row>
    <row r="58">
      <c r="A58" s="273" t="s">
        <v>454</v>
      </c>
      <c r="B58" s="279">
        <f t="shared" ref="B58:L58" si="7">AVERAGE(B41,B31,B20)</f>
        <v>0.020957427</v>
      </c>
      <c r="C58" s="279">
        <f t="shared" si="7"/>
        <v>0.04053005633</v>
      </c>
      <c r="D58" s="279">
        <f t="shared" si="7"/>
        <v>0.026418145</v>
      </c>
      <c r="E58" s="279">
        <f t="shared" si="7"/>
        <v>-0.01213092167</v>
      </c>
      <c r="F58" s="279">
        <f t="shared" si="7"/>
        <v>0.07898261833</v>
      </c>
      <c r="G58" s="279">
        <f t="shared" si="7"/>
        <v>0.05371928533</v>
      </c>
      <c r="H58" s="279">
        <f t="shared" si="7"/>
        <v>0.05173705433</v>
      </c>
      <c r="I58" s="279">
        <f t="shared" si="7"/>
        <v>0.01362715</v>
      </c>
      <c r="J58" s="279">
        <f t="shared" si="7"/>
        <v>-0.04572501933</v>
      </c>
      <c r="K58" s="279">
        <f t="shared" si="7"/>
        <v>-0.03220658833</v>
      </c>
      <c r="L58" s="280">
        <f t="shared" si="7"/>
        <v>0.01892435403</v>
      </c>
    </row>
    <row r="59">
      <c r="A59" s="276" t="s">
        <v>439</v>
      </c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2"/>
    </row>
    <row r="60">
      <c r="A60" s="270" t="s">
        <v>453</v>
      </c>
      <c r="B60" s="283">
        <f t="shared" ref="B60:K60" si="8">B10</f>
        <v>0.067</v>
      </c>
      <c r="C60" s="283">
        <f t="shared" si="8"/>
        <v>0.0385</v>
      </c>
      <c r="D60" s="283">
        <f t="shared" si="8"/>
        <v>0.066</v>
      </c>
      <c r="E60" s="283">
        <f t="shared" si="8"/>
        <v>-0.0412</v>
      </c>
      <c r="F60" s="283">
        <f t="shared" si="8"/>
        <v>0.0609</v>
      </c>
      <c r="G60" s="283">
        <f t="shared" si="8"/>
        <v>0.0556</v>
      </c>
      <c r="H60" s="283">
        <f t="shared" si="8"/>
        <v>0.0594</v>
      </c>
      <c r="I60" s="283">
        <f t="shared" si="8"/>
        <v>0.0278</v>
      </c>
      <c r="J60" s="283">
        <f t="shared" si="8"/>
        <v>0.0431</v>
      </c>
      <c r="K60" s="283">
        <f t="shared" si="8"/>
        <v>-0.2951</v>
      </c>
      <c r="L60" s="272">
        <f>M10</f>
        <v>0.01</v>
      </c>
    </row>
    <row r="61">
      <c r="A61" s="273" t="s">
        <v>454</v>
      </c>
      <c r="B61" s="279">
        <f t="shared" ref="B61:L61" si="9">AVERAGE(B42,B32,B22)</f>
        <v>0.02587558433</v>
      </c>
      <c r="C61" s="279">
        <f t="shared" si="9"/>
        <v>0.03067884867</v>
      </c>
      <c r="D61" s="279">
        <f t="shared" si="9"/>
        <v>0.01911303333</v>
      </c>
      <c r="E61" s="279">
        <f t="shared" si="9"/>
        <v>-0.004381285667</v>
      </c>
      <c r="F61" s="279">
        <f t="shared" si="9"/>
        <v>0.06875008833</v>
      </c>
      <c r="G61" s="279">
        <f t="shared" si="9"/>
        <v>0.06009706667</v>
      </c>
      <c r="H61" s="279">
        <f t="shared" si="9"/>
        <v>0.06183856633</v>
      </c>
      <c r="I61" s="279">
        <f t="shared" si="9"/>
        <v>0.01670830767</v>
      </c>
      <c r="J61" s="279">
        <f t="shared" si="9"/>
        <v>-0.05383888933</v>
      </c>
      <c r="K61" s="279">
        <f t="shared" si="9"/>
        <v>-0.05637749733</v>
      </c>
      <c r="L61" s="280">
        <f t="shared" si="9"/>
        <v>0.01751291563</v>
      </c>
    </row>
    <row r="62">
      <c r="A62" s="276" t="s">
        <v>455</v>
      </c>
      <c r="B62" s="281"/>
      <c r="C62" s="281"/>
      <c r="D62" s="281"/>
      <c r="E62" s="281"/>
      <c r="F62" s="281"/>
      <c r="G62" s="281"/>
      <c r="H62" s="281"/>
      <c r="I62" s="281"/>
      <c r="J62" s="281"/>
      <c r="K62" s="281"/>
      <c r="L62" s="282"/>
    </row>
    <row r="63">
      <c r="A63" s="270" t="s">
        <v>453</v>
      </c>
      <c r="B63" s="271">
        <f t="shared" ref="B63:K63" si="10">B11</f>
        <v>0.07</v>
      </c>
      <c r="C63" s="271">
        <f t="shared" si="10"/>
        <v>0.04</v>
      </c>
      <c r="D63" s="271">
        <f t="shared" si="10"/>
        <v>0.06</v>
      </c>
      <c r="E63" s="271">
        <f t="shared" si="10"/>
        <v>-0.04</v>
      </c>
      <c r="F63" s="271">
        <f t="shared" si="10"/>
        <v>0.06</v>
      </c>
      <c r="G63" s="271">
        <f t="shared" si="10"/>
        <v>0.05</v>
      </c>
      <c r="H63" s="271">
        <f t="shared" si="10"/>
        <v>0.06</v>
      </c>
      <c r="I63" s="271">
        <f t="shared" si="10"/>
        <v>0.03</v>
      </c>
      <c r="J63" s="271">
        <f t="shared" si="10"/>
        <v>0.04</v>
      </c>
      <c r="K63" s="271">
        <f t="shared" si="10"/>
        <v>-0.15</v>
      </c>
      <c r="L63" s="272">
        <f>M11</f>
        <v>0.02</v>
      </c>
    </row>
    <row r="64">
      <c r="A64" s="273" t="s">
        <v>454</v>
      </c>
      <c r="B64" s="279">
        <f t="shared" ref="B64:L64" si="11">AVERAGE(B43,B33,B25)</f>
        <v>0.01728828867</v>
      </c>
      <c r="C64" s="279">
        <f t="shared" si="11"/>
        <v>0.04417362833</v>
      </c>
      <c r="D64" s="279">
        <f t="shared" si="11"/>
        <v>0.03314422233</v>
      </c>
      <c r="E64" s="279">
        <f t="shared" si="11"/>
        <v>-0.007122190333</v>
      </c>
      <c r="F64" s="279">
        <f t="shared" si="11"/>
        <v>0.08757926167</v>
      </c>
      <c r="G64" s="279">
        <f t="shared" si="11"/>
        <v>0.059023653</v>
      </c>
      <c r="H64" s="279">
        <f t="shared" si="11"/>
        <v>0.06342425767</v>
      </c>
      <c r="I64" s="279">
        <f t="shared" si="11"/>
        <v>-0.026923402</v>
      </c>
      <c r="J64" s="279">
        <f t="shared" si="11"/>
        <v>-0.1018798133</v>
      </c>
      <c r="K64" s="279">
        <f t="shared" si="11"/>
        <v>-0.084245828</v>
      </c>
      <c r="L64" s="280">
        <f t="shared" si="11"/>
        <v>0.009446341133</v>
      </c>
    </row>
    <row r="65">
      <c r="A65" s="276" t="s">
        <v>440</v>
      </c>
      <c r="B65" s="281"/>
      <c r="C65" s="281"/>
      <c r="D65" s="281"/>
      <c r="E65" s="281"/>
      <c r="F65" s="281"/>
      <c r="G65" s="281"/>
      <c r="H65" s="281"/>
      <c r="I65" s="281"/>
      <c r="J65" s="281"/>
      <c r="K65" s="281"/>
      <c r="L65" s="282"/>
    </row>
    <row r="66">
      <c r="A66" s="270" t="s">
        <v>453</v>
      </c>
      <c r="B66" s="271">
        <f t="shared" ref="B66:K66" si="12">B12</f>
        <v>0.13</v>
      </c>
      <c r="C66" s="271">
        <f t="shared" si="12"/>
        <v>0.08</v>
      </c>
      <c r="D66" s="271">
        <f t="shared" si="12"/>
        <v>0.13</v>
      </c>
      <c r="E66" s="271">
        <f t="shared" si="12"/>
        <v>-0.08</v>
      </c>
      <c r="F66" s="271">
        <f t="shared" si="12"/>
        <v>0.11</v>
      </c>
      <c r="G66" s="271">
        <f t="shared" si="12"/>
        <v>0.1</v>
      </c>
      <c r="H66" s="271">
        <f t="shared" si="12"/>
        <v>0.12</v>
      </c>
      <c r="I66" s="271">
        <f t="shared" si="12"/>
        <v>0.05</v>
      </c>
      <c r="J66" s="271">
        <f t="shared" si="12"/>
        <v>0.08</v>
      </c>
      <c r="K66" s="284" t="str">
        <f t="shared" si="12"/>
        <v/>
      </c>
      <c r="L66" s="272">
        <f>M12</f>
        <v>0.07</v>
      </c>
    </row>
    <row r="67">
      <c r="A67" s="273" t="s">
        <v>454</v>
      </c>
      <c r="B67" s="274">
        <f t="shared" ref="B67:L67" si="13">AVERAGE(B44,B34,B23)</f>
        <v>-0.103786532</v>
      </c>
      <c r="C67" s="274">
        <f t="shared" si="13"/>
        <v>0.070688032</v>
      </c>
      <c r="D67" s="274">
        <f t="shared" si="13"/>
        <v>0.06576453067</v>
      </c>
      <c r="E67" s="274">
        <f t="shared" si="13"/>
        <v>-0.028137311</v>
      </c>
      <c r="F67" s="274">
        <f t="shared" si="13"/>
        <v>0.1353009723</v>
      </c>
      <c r="G67" s="274">
        <f t="shared" si="13"/>
        <v>0.09623408667</v>
      </c>
      <c r="H67" s="274">
        <f t="shared" si="13"/>
        <v>0.08091492633</v>
      </c>
      <c r="I67" s="274">
        <f t="shared" si="13"/>
        <v>-0.09894746067</v>
      </c>
      <c r="J67" s="274">
        <f t="shared" si="13"/>
        <v>-0.169717325</v>
      </c>
      <c r="K67" s="274">
        <f t="shared" si="13"/>
        <v>-0.08115065567</v>
      </c>
      <c r="L67" s="275">
        <f t="shared" si="13"/>
        <v>-0.001950373633</v>
      </c>
    </row>
    <row r="68">
      <c r="A68" s="276" t="s">
        <v>449</v>
      </c>
      <c r="B68" s="281"/>
      <c r="C68" s="281"/>
      <c r="D68" s="281"/>
      <c r="E68" s="281"/>
      <c r="F68" s="281"/>
      <c r="G68" s="281"/>
      <c r="H68" s="281"/>
      <c r="I68" s="281"/>
      <c r="J68" s="281"/>
      <c r="K68" s="281"/>
      <c r="L68" s="282"/>
    </row>
    <row r="69">
      <c r="A69" s="270" t="s">
        <v>453</v>
      </c>
      <c r="B69" s="283">
        <f t="shared" ref="B69:K69" si="14">B13</f>
        <v>0.129</v>
      </c>
      <c r="C69" s="283">
        <f t="shared" si="14"/>
        <v>0.105</v>
      </c>
      <c r="D69" s="283">
        <f t="shared" si="14"/>
        <v>0.1342</v>
      </c>
      <c r="E69" s="283">
        <f t="shared" si="14"/>
        <v>0.0053</v>
      </c>
      <c r="F69" s="283">
        <f t="shared" si="14"/>
        <v>0.1193</v>
      </c>
      <c r="G69" s="283">
        <f t="shared" si="14"/>
        <v>0.1382</v>
      </c>
      <c r="H69" s="283">
        <f t="shared" si="14"/>
        <v>0.1574</v>
      </c>
      <c r="I69" s="283">
        <f t="shared" si="14"/>
        <v>0.1369</v>
      </c>
      <c r="J69" s="283">
        <f t="shared" si="14"/>
        <v>0.1075</v>
      </c>
      <c r="K69" s="283">
        <f t="shared" si="14"/>
        <v>0.076</v>
      </c>
      <c r="L69" s="272">
        <f>M13</f>
        <v>0.11</v>
      </c>
    </row>
    <row r="70">
      <c r="A70" s="273" t="s">
        <v>454</v>
      </c>
      <c r="B70" s="279">
        <f t="shared" ref="B70:L70" si="15">AVERAGE(B45,B35,B24)</f>
        <v>0.129462866</v>
      </c>
      <c r="C70" s="279">
        <f t="shared" si="15"/>
        <v>0.1156508433</v>
      </c>
      <c r="D70" s="279">
        <f t="shared" si="15"/>
        <v>0.09636291367</v>
      </c>
      <c r="E70" s="279">
        <f t="shared" si="15"/>
        <v>0.017157387</v>
      </c>
      <c r="F70" s="279">
        <f t="shared" si="15"/>
        <v>0.1371697377</v>
      </c>
      <c r="G70" s="279">
        <f t="shared" si="15"/>
        <v>0.1514150453</v>
      </c>
      <c r="H70" s="279">
        <f t="shared" si="15"/>
        <v>0.1853824637</v>
      </c>
      <c r="I70" s="279">
        <f t="shared" si="15"/>
        <v>0.12653914</v>
      </c>
      <c r="J70" s="279">
        <f t="shared" si="15"/>
        <v>0.09618620467</v>
      </c>
      <c r="K70" s="279">
        <f t="shared" si="15"/>
        <v>0.3273310713</v>
      </c>
      <c r="L70" s="280">
        <f t="shared" si="15"/>
        <v>0.1382655339</v>
      </c>
    </row>
    <row r="71">
      <c r="A71" s="285" t="s">
        <v>456</v>
      </c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7"/>
    </row>
    <row r="72">
      <c r="A72" s="270" t="s">
        <v>453</v>
      </c>
      <c r="B72" s="271">
        <f t="shared" ref="B72:K72" si="16">B14</f>
        <v>0.15</v>
      </c>
      <c r="C72" s="271">
        <f t="shared" si="16"/>
        <v>0.33</v>
      </c>
      <c r="D72" s="271">
        <f t="shared" si="16"/>
        <v>0.2</v>
      </c>
      <c r="E72" s="271">
        <f t="shared" si="16"/>
        <v>-0.07</v>
      </c>
      <c r="F72" s="271">
        <f t="shared" si="16"/>
        <v>0.09</v>
      </c>
      <c r="G72" s="271">
        <f t="shared" si="16"/>
        <v>0.05</v>
      </c>
      <c r="H72" s="271">
        <f t="shared" si="16"/>
        <v>0.1</v>
      </c>
      <c r="I72" s="271">
        <f t="shared" si="16"/>
        <v>0.07</v>
      </c>
      <c r="J72" s="271">
        <f t="shared" si="16"/>
        <v>0.05</v>
      </c>
      <c r="K72" s="284" t="str">
        <f t="shared" si="16"/>
        <v/>
      </c>
      <c r="L72" s="272">
        <f>M14</f>
        <v>0.1</v>
      </c>
    </row>
    <row r="73">
      <c r="A73" s="288" t="s">
        <v>454</v>
      </c>
      <c r="B73" s="289">
        <f t="shared" ref="B73:L73" si="17">AVERAGE(B46,B36,B26)</f>
        <v>0.2099729107</v>
      </c>
      <c r="C73" s="289">
        <f t="shared" si="17"/>
        <v>0.176592761</v>
      </c>
      <c r="D73" s="289">
        <f t="shared" si="17"/>
        <v>0.475817082</v>
      </c>
      <c r="E73" s="289">
        <f t="shared" si="17"/>
        <v>-0.157725275</v>
      </c>
      <c r="F73" s="289">
        <f t="shared" si="17"/>
        <v>-0.03215103267</v>
      </c>
      <c r="G73" s="289">
        <f t="shared" si="17"/>
        <v>0.055038614</v>
      </c>
      <c r="H73" s="289">
        <f t="shared" si="17"/>
        <v>0.1359683827</v>
      </c>
      <c r="I73" s="289">
        <f t="shared" si="17"/>
        <v>0.1187331363</v>
      </c>
      <c r="J73" s="289">
        <f t="shared" si="17"/>
        <v>0.1359338087</v>
      </c>
      <c r="K73" s="289">
        <f t="shared" si="17"/>
        <v>0</v>
      </c>
      <c r="L73" s="290">
        <f t="shared" si="17"/>
        <v>0.1101513388</v>
      </c>
    </row>
  </sheetData>
  <mergeCells count="1">
    <mergeCell ref="A2:M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9.0"/>
  </cols>
  <sheetData>
    <row r="2">
      <c r="A2" s="202" t="s">
        <v>457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>
      <c r="A3" s="15"/>
      <c r="M3" s="16"/>
    </row>
    <row r="4">
      <c r="A4" s="203"/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5"/>
    </row>
    <row r="5">
      <c r="A5" s="206" t="s">
        <v>13</v>
      </c>
      <c r="B5" s="207">
        <v>1.3234143518518517</v>
      </c>
      <c r="C5" s="207">
        <v>1.3234027777777777</v>
      </c>
      <c r="D5" s="207">
        <v>1.3233912037037037</v>
      </c>
      <c r="E5" s="207">
        <v>1.3233796296296296</v>
      </c>
      <c r="F5" s="207">
        <v>1.3233680555555556</v>
      </c>
      <c r="G5" s="207">
        <v>1.3233564814814816</v>
      </c>
      <c r="H5" s="207">
        <v>1.3233449074074075</v>
      </c>
      <c r="I5" s="207">
        <v>1.3233333333333333</v>
      </c>
      <c r="J5" s="207">
        <v>1.3233217592592592</v>
      </c>
      <c r="K5" s="207">
        <v>1.3233101851851852</v>
      </c>
      <c r="L5" s="208" t="s">
        <v>407</v>
      </c>
      <c r="M5" s="209" t="s">
        <v>25</v>
      </c>
    </row>
    <row r="6">
      <c r="A6" s="54" t="s">
        <v>458</v>
      </c>
      <c r="B6" s="210">
        <v>0.38</v>
      </c>
      <c r="C6" s="210">
        <v>0.4</v>
      </c>
      <c r="D6" s="210">
        <v>0.4</v>
      </c>
      <c r="E6" s="210">
        <v>0.44</v>
      </c>
      <c r="F6" s="210">
        <v>0.36</v>
      </c>
      <c r="G6" s="210">
        <v>0.38</v>
      </c>
      <c r="H6" s="210">
        <v>0.41</v>
      </c>
      <c r="I6" s="210">
        <v>0.42</v>
      </c>
      <c r="J6" s="210">
        <v>0.37</v>
      </c>
      <c r="K6" s="210">
        <v>0.4</v>
      </c>
      <c r="L6" s="291">
        <v>-0.0189</v>
      </c>
      <c r="M6" s="212">
        <v>0.4</v>
      </c>
    </row>
    <row r="7">
      <c r="A7" s="54" t="s">
        <v>459</v>
      </c>
      <c r="B7" s="212">
        <v>0.71</v>
      </c>
      <c r="C7" s="212">
        <v>0.82</v>
      </c>
      <c r="D7" s="212">
        <v>0.76</v>
      </c>
      <c r="E7" s="212">
        <v>0.88</v>
      </c>
      <c r="F7" s="212">
        <v>0.61</v>
      </c>
      <c r="G7" s="212">
        <v>0.68</v>
      </c>
      <c r="H7" s="212">
        <v>0.79</v>
      </c>
      <c r="I7" s="212">
        <v>0.85</v>
      </c>
      <c r="J7" s="212">
        <v>0.67</v>
      </c>
      <c r="K7" s="212">
        <v>0.76</v>
      </c>
      <c r="L7" s="292">
        <v>-0.0458</v>
      </c>
      <c r="M7" s="212">
        <v>0.75</v>
      </c>
    </row>
    <row r="8">
      <c r="A8" s="54" t="s">
        <v>460</v>
      </c>
      <c r="B8" s="216"/>
      <c r="C8" s="216"/>
      <c r="D8" s="216"/>
      <c r="E8" s="216"/>
      <c r="F8" s="216"/>
      <c r="G8" s="216"/>
      <c r="H8" s="216"/>
      <c r="I8" s="216"/>
      <c r="J8" s="216"/>
      <c r="K8" s="216"/>
      <c r="L8" s="56"/>
      <c r="M8" s="45"/>
    </row>
    <row r="9">
      <c r="A9" s="186" t="s">
        <v>461</v>
      </c>
      <c r="B9" s="220">
        <v>0.0</v>
      </c>
      <c r="C9" s="220">
        <v>0.0</v>
      </c>
      <c r="D9" s="220">
        <v>0.0</v>
      </c>
      <c r="E9" s="220">
        <v>0.0</v>
      </c>
      <c r="F9" s="220">
        <v>0.0</v>
      </c>
      <c r="G9" s="220">
        <v>0.0</v>
      </c>
      <c r="H9" s="220">
        <v>0.0</v>
      </c>
      <c r="I9" s="220">
        <v>0.0</v>
      </c>
      <c r="J9" s="220">
        <v>0.0</v>
      </c>
      <c r="K9" s="220">
        <v>0.0</v>
      </c>
      <c r="L9" s="293"/>
      <c r="M9" s="293"/>
    </row>
    <row r="11">
      <c r="A11" s="294" t="s">
        <v>462</v>
      </c>
      <c r="B11" s="295"/>
      <c r="C11" s="295"/>
      <c r="D11" s="296"/>
      <c r="E11" s="296"/>
      <c r="F11" s="296"/>
      <c r="G11" s="296"/>
      <c r="H11" s="297"/>
      <c r="I11" s="296"/>
      <c r="J11" s="296"/>
      <c r="K11" s="296"/>
      <c r="L11" s="298" t="s">
        <v>25</v>
      </c>
    </row>
    <row r="12">
      <c r="A12" s="299" t="s">
        <v>463</v>
      </c>
      <c r="B12" s="300">
        <v>0.39</v>
      </c>
      <c r="C12" s="300">
        <v>0.4</v>
      </c>
      <c r="D12" s="300">
        <v>0.43</v>
      </c>
      <c r="E12" s="300">
        <v>0.37</v>
      </c>
      <c r="F12" s="300">
        <v>0.38</v>
      </c>
      <c r="G12" s="300">
        <v>0.3</v>
      </c>
      <c r="H12" s="300">
        <v>0.18</v>
      </c>
      <c r="I12" s="300">
        <v>0.27</v>
      </c>
      <c r="J12" s="300">
        <v>0.3</v>
      </c>
      <c r="K12" s="300">
        <v>0.33</v>
      </c>
      <c r="L12" s="301">
        <v>0.33</v>
      </c>
    </row>
    <row r="13">
      <c r="A13" s="302" t="s">
        <v>464</v>
      </c>
      <c r="B13" s="303">
        <v>0.71</v>
      </c>
      <c r="C13" s="303">
        <v>0.71</v>
      </c>
      <c r="D13" s="303">
        <v>0.8</v>
      </c>
      <c r="E13" s="303">
        <v>0.64</v>
      </c>
      <c r="F13" s="303">
        <v>0.68</v>
      </c>
      <c r="G13" s="303">
        <v>0.48</v>
      </c>
      <c r="H13" s="303">
        <v>0.25</v>
      </c>
      <c r="I13" s="303">
        <v>0.42</v>
      </c>
      <c r="J13" s="303">
        <v>0.51</v>
      </c>
      <c r="K13" s="303">
        <v>0.57</v>
      </c>
      <c r="L13" s="304">
        <v>0.58</v>
      </c>
    </row>
    <row r="14">
      <c r="A14" s="305" t="s">
        <v>465</v>
      </c>
      <c r="B14" s="306">
        <v>0.06</v>
      </c>
      <c r="C14" s="306">
        <v>0.13</v>
      </c>
      <c r="D14" s="306">
        <v>0.18</v>
      </c>
      <c r="E14" s="306">
        <v>0.21</v>
      </c>
      <c r="F14" s="306">
        <v>0.16</v>
      </c>
      <c r="G14" s="306">
        <v>0.18</v>
      </c>
      <c r="H14" s="306">
        <v>0.0</v>
      </c>
      <c r="I14" s="306">
        <v>0.03</v>
      </c>
      <c r="J14" s="306">
        <v>0.13</v>
      </c>
      <c r="K14" s="306">
        <v>0.19</v>
      </c>
      <c r="L14" s="301">
        <v>0.13</v>
      </c>
    </row>
    <row r="15">
      <c r="A15" s="307" t="s">
        <v>466</v>
      </c>
      <c r="B15" s="308">
        <v>6.0</v>
      </c>
      <c r="C15" s="308">
        <v>1.62</v>
      </c>
      <c r="D15" s="308">
        <v>0.98</v>
      </c>
      <c r="E15" s="308">
        <v>0.51</v>
      </c>
      <c r="F15" s="308">
        <v>1.56</v>
      </c>
      <c r="G15" s="308">
        <v>1.84</v>
      </c>
      <c r="H15" s="308">
        <v>0.0</v>
      </c>
      <c r="I15" s="308">
        <v>21.79</v>
      </c>
      <c r="J15" s="308">
        <v>3.36</v>
      </c>
      <c r="K15" s="308">
        <v>2.25</v>
      </c>
      <c r="L15" s="309">
        <v>3.99</v>
      </c>
    </row>
    <row r="17">
      <c r="A17" s="310" t="s">
        <v>467</v>
      </c>
      <c r="B17" s="311">
        <v>2023.0</v>
      </c>
      <c r="C17" s="312">
        <v>2022.0</v>
      </c>
      <c r="D17" s="313">
        <v>2021.0</v>
      </c>
      <c r="E17" s="313">
        <v>2020.0</v>
      </c>
      <c r="F17" s="313">
        <v>2019.0</v>
      </c>
      <c r="G17" s="313">
        <v>2018.0</v>
      </c>
      <c r="H17" s="313">
        <v>2017.0</v>
      </c>
      <c r="I17" s="313">
        <v>2016.0</v>
      </c>
      <c r="J17" s="313">
        <v>2015.0</v>
      </c>
      <c r="K17" s="314">
        <v>2014.0</v>
      </c>
      <c r="L17" s="315" t="s">
        <v>398</v>
      </c>
    </row>
    <row r="18">
      <c r="A18" s="316" t="s">
        <v>468</v>
      </c>
      <c r="B18" s="317">
        <v>0.47</v>
      </c>
      <c r="C18" s="318">
        <v>0.49</v>
      </c>
      <c r="D18" s="318">
        <v>0.46</v>
      </c>
      <c r="E18" s="318">
        <v>0.47</v>
      </c>
      <c r="F18" s="318">
        <v>0.58</v>
      </c>
      <c r="G18" s="318">
        <v>0.52</v>
      </c>
      <c r="H18" s="318">
        <v>0.58</v>
      </c>
      <c r="I18" s="318">
        <v>0.58</v>
      </c>
      <c r="J18" s="318">
        <v>0.54</v>
      </c>
      <c r="K18" s="319">
        <v>0.53</v>
      </c>
      <c r="L18" s="320">
        <v>0.52</v>
      </c>
    </row>
    <row r="19">
      <c r="A19" s="321" t="s">
        <v>469</v>
      </c>
      <c r="B19" s="40">
        <v>0.98</v>
      </c>
      <c r="C19" s="40">
        <v>1.05</v>
      </c>
      <c r="D19" s="40">
        <v>0.96</v>
      </c>
      <c r="E19" s="40">
        <v>0.97</v>
      </c>
      <c r="F19" s="40">
        <v>2.9</v>
      </c>
      <c r="G19" s="40">
        <v>1.23</v>
      </c>
      <c r="H19" s="40">
        <v>1.58</v>
      </c>
      <c r="I19" s="40">
        <v>1.63</v>
      </c>
      <c r="J19" s="40">
        <v>1.38</v>
      </c>
      <c r="K19" s="322">
        <v>1.1</v>
      </c>
      <c r="L19" s="323">
        <v>1.38</v>
      </c>
    </row>
    <row r="20">
      <c r="A20" s="324" t="s">
        <v>470</v>
      </c>
      <c r="B20" s="40">
        <v>0.23</v>
      </c>
      <c r="C20" s="40">
        <v>0.31</v>
      </c>
      <c r="D20" s="40">
        <v>0.33</v>
      </c>
      <c r="E20" s="40">
        <v>0.39</v>
      </c>
      <c r="F20" s="40">
        <v>0.44</v>
      </c>
      <c r="G20" s="40">
        <v>0.35</v>
      </c>
      <c r="H20" s="40">
        <v>0.37</v>
      </c>
      <c r="I20" s="40">
        <v>0.34</v>
      </c>
      <c r="J20" s="40">
        <v>0.34</v>
      </c>
      <c r="K20" s="325">
        <v>0.24</v>
      </c>
      <c r="L20" s="323">
        <v>0.33</v>
      </c>
    </row>
    <row r="21">
      <c r="A21" s="326" t="s">
        <v>471</v>
      </c>
      <c r="B21" s="47">
        <v>0.13</v>
      </c>
      <c r="C21" s="47">
        <v>0.13</v>
      </c>
      <c r="D21" s="47">
        <v>0.03</v>
      </c>
      <c r="E21" s="47">
        <v>-0.05</v>
      </c>
      <c r="F21" s="47">
        <v>0.17</v>
      </c>
      <c r="G21" s="47">
        <v>0.3</v>
      </c>
      <c r="H21" s="47">
        <v>0.37</v>
      </c>
      <c r="I21" s="47">
        <v>0.3</v>
      </c>
      <c r="J21" s="47">
        <v>0.09</v>
      </c>
      <c r="K21" s="327">
        <v>0.23</v>
      </c>
      <c r="L21" s="328">
        <v>0.17</v>
      </c>
    </row>
    <row r="23">
      <c r="A23" s="329" t="s">
        <v>472</v>
      </c>
      <c r="B23" s="255">
        <v>2023.0</v>
      </c>
      <c r="C23" s="255">
        <v>2022.0</v>
      </c>
      <c r="D23" s="255">
        <v>2021.0</v>
      </c>
      <c r="E23" s="255">
        <v>2020.0</v>
      </c>
      <c r="F23" s="255">
        <v>2019.0</v>
      </c>
      <c r="G23" s="255">
        <v>2018.0</v>
      </c>
      <c r="H23" s="255">
        <v>2017.0</v>
      </c>
      <c r="I23" s="255">
        <v>2016.0</v>
      </c>
      <c r="J23" s="255">
        <v>2015.0</v>
      </c>
      <c r="K23" s="255">
        <v>2014.0</v>
      </c>
      <c r="L23" s="20" t="s">
        <v>398</v>
      </c>
    </row>
    <row r="24">
      <c r="A24" s="330" t="s">
        <v>473</v>
      </c>
      <c r="B24" s="331">
        <v>0.732732776</v>
      </c>
      <c r="C24" s="331">
        <v>0.738586491</v>
      </c>
      <c r="D24" s="331">
        <v>0.753677407</v>
      </c>
      <c r="E24" s="331">
        <v>0.78959423</v>
      </c>
      <c r="F24" s="331">
        <v>0.740470512</v>
      </c>
      <c r="G24" s="331">
        <v>0.711936602</v>
      </c>
      <c r="H24" s="331">
        <v>0.759846289</v>
      </c>
      <c r="I24" s="331">
        <v>0.774500646</v>
      </c>
      <c r="J24" s="331">
        <v>0.682251778</v>
      </c>
      <c r="K24" s="331">
        <v>0.667035562</v>
      </c>
      <c r="L24" s="332">
        <f t="shared" ref="L24:L26" si="1">Average(B24:K24)</f>
        <v>0.7350632293</v>
      </c>
    </row>
    <row r="25">
      <c r="A25" s="333" t="s">
        <v>474</v>
      </c>
      <c r="B25" s="334">
        <v>3.909043822</v>
      </c>
      <c r="C25" s="334">
        <v>3.457360981</v>
      </c>
      <c r="D25" s="334">
        <v>3.631935752</v>
      </c>
      <c r="E25" s="334">
        <v>4.498338915</v>
      </c>
      <c r="F25" s="334">
        <v>3.32774458</v>
      </c>
      <c r="G25" s="334">
        <v>3.152214666</v>
      </c>
      <c r="H25" s="334">
        <v>4.151555496</v>
      </c>
      <c r="I25" s="334">
        <v>4.74592843</v>
      </c>
      <c r="J25" s="334">
        <v>2.599785003</v>
      </c>
      <c r="K25" s="334">
        <v>2.407736751</v>
      </c>
      <c r="L25" s="335">
        <f t="shared" si="1"/>
        <v>3.58816444</v>
      </c>
    </row>
    <row r="26">
      <c r="A26" s="336" t="s">
        <v>475</v>
      </c>
      <c r="B26" s="337">
        <v>-0.268205598</v>
      </c>
      <c r="C26" s="337">
        <v>0.143732333</v>
      </c>
      <c r="D26" s="337">
        <v>0.165497648</v>
      </c>
      <c r="E26" s="337">
        <v>-0.025744003</v>
      </c>
      <c r="F26" s="337">
        <v>0.015742926</v>
      </c>
      <c r="G26" s="337">
        <v>-0.269462639</v>
      </c>
      <c r="H26" s="337">
        <v>-0.385767576</v>
      </c>
      <c r="I26" s="337">
        <v>-1.144465034</v>
      </c>
      <c r="J26" s="337">
        <v>-1.048976361</v>
      </c>
      <c r="K26" s="337">
        <v>1.399696756</v>
      </c>
      <c r="L26" s="338">
        <f t="shared" si="1"/>
        <v>-0.1417951548</v>
      </c>
    </row>
    <row r="28">
      <c r="A28" s="33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>
      <c r="A29" s="33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>
      <c r="A30" s="340" t="s">
        <v>476</v>
      </c>
      <c r="B30" s="341">
        <v>2023.0</v>
      </c>
      <c r="C30" s="341">
        <v>2022.0</v>
      </c>
      <c r="D30" s="341">
        <v>2021.0</v>
      </c>
      <c r="E30" s="341">
        <v>2020.0</v>
      </c>
      <c r="F30" s="341">
        <v>2019.0</v>
      </c>
      <c r="G30" s="341">
        <v>2018.0</v>
      </c>
      <c r="H30" s="341">
        <v>2017.0</v>
      </c>
      <c r="I30" s="341">
        <v>2016.0</v>
      </c>
      <c r="J30" s="341">
        <v>2015.0</v>
      </c>
      <c r="K30" s="341">
        <v>2014.0</v>
      </c>
      <c r="L30" s="342" t="s">
        <v>398</v>
      </c>
    </row>
    <row r="31">
      <c r="A31" s="343" t="s">
        <v>477</v>
      </c>
      <c r="B31" s="344"/>
      <c r="C31" s="344"/>
      <c r="D31" s="344"/>
      <c r="E31" s="344"/>
      <c r="F31" s="344"/>
      <c r="G31" s="344"/>
      <c r="H31" s="344"/>
      <c r="I31" s="344"/>
      <c r="J31" s="344"/>
      <c r="K31" s="344"/>
      <c r="L31" s="345"/>
    </row>
    <row r="32">
      <c r="A32" s="346" t="s">
        <v>453</v>
      </c>
      <c r="B32" s="347">
        <f t="shared" ref="B32:K32" si="2">B6</f>
        <v>0.38</v>
      </c>
      <c r="C32" s="347">
        <f t="shared" si="2"/>
        <v>0.4</v>
      </c>
      <c r="D32" s="347">
        <f t="shared" si="2"/>
        <v>0.4</v>
      </c>
      <c r="E32" s="347">
        <f t="shared" si="2"/>
        <v>0.44</v>
      </c>
      <c r="F32" s="347">
        <f t="shared" si="2"/>
        <v>0.36</v>
      </c>
      <c r="G32" s="347">
        <f t="shared" si="2"/>
        <v>0.38</v>
      </c>
      <c r="H32" s="347">
        <f t="shared" si="2"/>
        <v>0.41</v>
      </c>
      <c r="I32" s="347">
        <f t="shared" si="2"/>
        <v>0.42</v>
      </c>
      <c r="J32" s="347">
        <f t="shared" si="2"/>
        <v>0.37</v>
      </c>
      <c r="K32" s="347">
        <f t="shared" si="2"/>
        <v>0.4</v>
      </c>
      <c r="L32" s="348">
        <f>M6</f>
        <v>0.4</v>
      </c>
    </row>
    <row r="33">
      <c r="A33" s="349" t="s">
        <v>454</v>
      </c>
      <c r="B33" s="350">
        <f t="shared" ref="B33:L33" si="3">AVERAGE(B24,B18,B12)</f>
        <v>0.5309109253</v>
      </c>
      <c r="C33" s="350">
        <f t="shared" si="3"/>
        <v>0.5428621637</v>
      </c>
      <c r="D33" s="350">
        <f t="shared" si="3"/>
        <v>0.547892469</v>
      </c>
      <c r="E33" s="350">
        <f t="shared" si="3"/>
        <v>0.5431980767</v>
      </c>
      <c r="F33" s="350">
        <f t="shared" si="3"/>
        <v>0.566823504</v>
      </c>
      <c r="G33" s="350">
        <f t="shared" si="3"/>
        <v>0.510645534</v>
      </c>
      <c r="H33" s="350">
        <f t="shared" si="3"/>
        <v>0.5066154297</v>
      </c>
      <c r="I33" s="350">
        <f t="shared" si="3"/>
        <v>0.5415002153</v>
      </c>
      <c r="J33" s="350">
        <f t="shared" si="3"/>
        <v>0.5074172593</v>
      </c>
      <c r="K33" s="350">
        <f t="shared" si="3"/>
        <v>0.509011854</v>
      </c>
      <c r="L33" s="351">
        <f t="shared" si="3"/>
        <v>0.5283544098</v>
      </c>
    </row>
    <row r="34">
      <c r="A34" s="352" t="s">
        <v>478</v>
      </c>
      <c r="B34" s="353"/>
      <c r="C34" s="353"/>
      <c r="D34" s="353"/>
      <c r="E34" s="353"/>
      <c r="F34" s="353"/>
      <c r="G34" s="353"/>
      <c r="H34" s="353"/>
      <c r="I34" s="353"/>
      <c r="J34" s="353"/>
      <c r="K34" s="353"/>
      <c r="L34" s="354"/>
    </row>
    <row r="35">
      <c r="A35" s="346" t="s">
        <v>453</v>
      </c>
      <c r="B35" s="355">
        <f t="shared" ref="B35:K35" si="4">B7</f>
        <v>0.71</v>
      </c>
      <c r="C35" s="355">
        <f t="shared" si="4"/>
        <v>0.82</v>
      </c>
      <c r="D35" s="355">
        <f t="shared" si="4"/>
        <v>0.76</v>
      </c>
      <c r="E35" s="355">
        <f t="shared" si="4"/>
        <v>0.88</v>
      </c>
      <c r="F35" s="355">
        <f t="shared" si="4"/>
        <v>0.61</v>
      </c>
      <c r="G35" s="355">
        <f t="shared" si="4"/>
        <v>0.68</v>
      </c>
      <c r="H35" s="355">
        <f t="shared" si="4"/>
        <v>0.79</v>
      </c>
      <c r="I35" s="355">
        <f t="shared" si="4"/>
        <v>0.85</v>
      </c>
      <c r="J35" s="355">
        <f t="shared" si="4"/>
        <v>0.67</v>
      </c>
      <c r="K35" s="355">
        <f t="shared" si="4"/>
        <v>0.76</v>
      </c>
      <c r="L35" s="356">
        <f>M7</f>
        <v>0.75</v>
      </c>
    </row>
    <row r="36">
      <c r="A36" s="349" t="s">
        <v>454</v>
      </c>
      <c r="B36" s="357">
        <f t="shared" ref="B36:L36" si="5">AVERAGE(B25,B19,B13)</f>
        <v>1.866347941</v>
      </c>
      <c r="C36" s="357">
        <f t="shared" si="5"/>
        <v>1.739120327</v>
      </c>
      <c r="D36" s="357">
        <f t="shared" si="5"/>
        <v>1.797311917</v>
      </c>
      <c r="E36" s="357">
        <f t="shared" si="5"/>
        <v>2.036112972</v>
      </c>
      <c r="F36" s="357">
        <f t="shared" si="5"/>
        <v>2.302581527</v>
      </c>
      <c r="G36" s="357">
        <f t="shared" si="5"/>
        <v>1.620738222</v>
      </c>
      <c r="H36" s="357">
        <f t="shared" si="5"/>
        <v>1.993851832</v>
      </c>
      <c r="I36" s="357">
        <f t="shared" si="5"/>
        <v>2.265309477</v>
      </c>
      <c r="J36" s="357">
        <f t="shared" si="5"/>
        <v>1.496595001</v>
      </c>
      <c r="K36" s="357">
        <f t="shared" si="5"/>
        <v>1.359245584</v>
      </c>
      <c r="L36" s="358">
        <f t="shared" si="5"/>
        <v>1.849388147</v>
      </c>
    </row>
    <row r="37">
      <c r="A37" s="352" t="s">
        <v>479</v>
      </c>
      <c r="B37" s="353"/>
      <c r="C37" s="353"/>
      <c r="D37" s="353"/>
      <c r="E37" s="353"/>
      <c r="F37" s="353"/>
      <c r="G37" s="353"/>
      <c r="H37" s="353"/>
      <c r="I37" s="353"/>
      <c r="J37" s="353"/>
      <c r="K37" s="353"/>
      <c r="L37" s="354"/>
    </row>
    <row r="38">
      <c r="A38" s="346" t="s">
        <v>453</v>
      </c>
      <c r="B38" s="359">
        <f t="shared" ref="B38:K38" si="6">B9</f>
        <v>0</v>
      </c>
      <c r="C38" s="359">
        <f t="shared" si="6"/>
        <v>0</v>
      </c>
      <c r="D38" s="359">
        <f t="shared" si="6"/>
        <v>0</v>
      </c>
      <c r="E38" s="359">
        <f t="shared" si="6"/>
        <v>0</v>
      </c>
      <c r="F38" s="359">
        <f t="shared" si="6"/>
        <v>0</v>
      </c>
      <c r="G38" s="359">
        <f t="shared" si="6"/>
        <v>0</v>
      </c>
      <c r="H38" s="359">
        <f t="shared" si="6"/>
        <v>0</v>
      </c>
      <c r="I38" s="359">
        <f t="shared" si="6"/>
        <v>0</v>
      </c>
      <c r="J38" s="359">
        <f t="shared" si="6"/>
        <v>0</v>
      </c>
      <c r="K38" s="359">
        <f t="shared" si="6"/>
        <v>0</v>
      </c>
      <c r="L38" s="348"/>
    </row>
    <row r="39">
      <c r="A39" s="349" t="s">
        <v>454</v>
      </c>
      <c r="B39" s="350">
        <f t="shared" ref="B39:L39" si="7">AVERAGE(B20,B14)</f>
        <v>0.145</v>
      </c>
      <c r="C39" s="350">
        <f t="shared" si="7"/>
        <v>0.22</v>
      </c>
      <c r="D39" s="350">
        <f t="shared" si="7"/>
        <v>0.255</v>
      </c>
      <c r="E39" s="350">
        <f t="shared" si="7"/>
        <v>0.3</v>
      </c>
      <c r="F39" s="350">
        <f t="shared" si="7"/>
        <v>0.3</v>
      </c>
      <c r="G39" s="350">
        <f t="shared" si="7"/>
        <v>0.265</v>
      </c>
      <c r="H39" s="350">
        <f t="shared" si="7"/>
        <v>0.185</v>
      </c>
      <c r="I39" s="350">
        <f t="shared" si="7"/>
        <v>0.185</v>
      </c>
      <c r="J39" s="350">
        <f t="shared" si="7"/>
        <v>0.235</v>
      </c>
      <c r="K39" s="350">
        <f t="shared" si="7"/>
        <v>0.215</v>
      </c>
      <c r="L39" s="351">
        <f t="shared" si="7"/>
        <v>0.23</v>
      </c>
    </row>
    <row r="40">
      <c r="A40" s="352" t="s">
        <v>480</v>
      </c>
      <c r="B40" s="353"/>
      <c r="C40" s="353"/>
      <c r="D40" s="353"/>
      <c r="E40" s="353"/>
      <c r="F40" s="353"/>
      <c r="G40" s="353"/>
      <c r="H40" s="353"/>
      <c r="I40" s="353"/>
      <c r="J40" s="353"/>
      <c r="K40" s="353"/>
      <c r="L40" s="354"/>
    </row>
    <row r="41">
      <c r="A41" s="346" t="s">
        <v>453</v>
      </c>
      <c r="B41" s="360" t="str">
        <f t="shared" ref="B41:L41" si="8">B8</f>
        <v/>
      </c>
      <c r="C41" s="360" t="str">
        <f t="shared" si="8"/>
        <v/>
      </c>
      <c r="D41" s="360" t="str">
        <f t="shared" si="8"/>
        <v/>
      </c>
      <c r="E41" s="360" t="str">
        <f t="shared" si="8"/>
        <v/>
      </c>
      <c r="F41" s="360" t="str">
        <f t="shared" si="8"/>
        <v/>
      </c>
      <c r="G41" s="360" t="str">
        <f t="shared" si="8"/>
        <v/>
      </c>
      <c r="H41" s="360" t="str">
        <f t="shared" si="8"/>
        <v/>
      </c>
      <c r="I41" s="360" t="str">
        <f t="shared" si="8"/>
        <v/>
      </c>
      <c r="J41" s="360" t="str">
        <f t="shared" si="8"/>
        <v/>
      </c>
      <c r="K41" s="360" t="str">
        <f t="shared" si="8"/>
        <v/>
      </c>
      <c r="L41" s="361" t="str">
        <f t="shared" si="8"/>
        <v/>
      </c>
    </row>
    <row r="42">
      <c r="A42" s="362" t="s">
        <v>454</v>
      </c>
      <c r="B42" s="363">
        <f t="shared" ref="B42:L42" si="9">AVERAGE(B26,B21,B15)</f>
        <v>1.953931467</v>
      </c>
      <c r="C42" s="363">
        <f t="shared" si="9"/>
        <v>0.631244111</v>
      </c>
      <c r="D42" s="363">
        <f t="shared" si="9"/>
        <v>0.3918325493</v>
      </c>
      <c r="E42" s="363">
        <f t="shared" si="9"/>
        <v>0.144751999</v>
      </c>
      <c r="F42" s="363">
        <f t="shared" si="9"/>
        <v>0.5819143087</v>
      </c>
      <c r="G42" s="363">
        <f t="shared" si="9"/>
        <v>0.6235124537</v>
      </c>
      <c r="H42" s="363">
        <f t="shared" si="9"/>
        <v>-0.005255858667</v>
      </c>
      <c r="I42" s="363">
        <f t="shared" si="9"/>
        <v>6.981844989</v>
      </c>
      <c r="J42" s="363">
        <f t="shared" si="9"/>
        <v>0.800341213</v>
      </c>
      <c r="K42" s="363">
        <f t="shared" si="9"/>
        <v>1.293232252</v>
      </c>
      <c r="L42" s="364">
        <f t="shared" si="9"/>
        <v>1.339401615</v>
      </c>
    </row>
  </sheetData>
  <mergeCells count="1">
    <mergeCell ref="A2:M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1.44"/>
  </cols>
  <sheetData>
    <row r="2">
      <c r="A2" s="202" t="s">
        <v>481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>
      <c r="A3" s="15"/>
      <c r="M3" s="16"/>
    </row>
    <row r="4">
      <c r="A4" s="203"/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5"/>
    </row>
    <row r="5">
      <c r="A5" s="206" t="s">
        <v>13</v>
      </c>
      <c r="B5" s="207">
        <v>1.3234143518518517</v>
      </c>
      <c r="C5" s="207">
        <v>1.3234027777777777</v>
      </c>
      <c r="D5" s="207">
        <v>1.3233912037037037</v>
      </c>
      <c r="E5" s="207">
        <v>1.3233796296296296</v>
      </c>
      <c r="F5" s="207">
        <v>1.3233680555555556</v>
      </c>
      <c r="G5" s="207">
        <v>1.3233564814814816</v>
      </c>
      <c r="H5" s="207">
        <v>1.3233449074074075</v>
      </c>
      <c r="I5" s="207">
        <v>1.3233333333333333</v>
      </c>
      <c r="J5" s="207">
        <v>1.3233217592592592</v>
      </c>
      <c r="K5" s="207">
        <v>1.3233101851851852</v>
      </c>
      <c r="L5" s="208" t="s">
        <v>407</v>
      </c>
      <c r="M5" s="209" t="s">
        <v>25</v>
      </c>
    </row>
    <row r="6">
      <c r="A6" s="54" t="s">
        <v>482</v>
      </c>
      <c r="B6" s="212">
        <v>4.76</v>
      </c>
      <c r="C6" s="212">
        <v>5.56</v>
      </c>
      <c r="D6" s="212">
        <v>5.97</v>
      </c>
      <c r="E6" s="212">
        <v>5.63</v>
      </c>
      <c r="F6" s="212">
        <v>5.58</v>
      </c>
      <c r="G6" s="212">
        <v>4.87</v>
      </c>
      <c r="H6" s="212">
        <v>4.71</v>
      </c>
      <c r="I6" s="212">
        <v>4.41</v>
      </c>
      <c r="J6" s="212">
        <v>4.88</v>
      </c>
      <c r="K6" s="365"/>
      <c r="L6" s="44"/>
      <c r="M6" s="212">
        <v>4.64</v>
      </c>
    </row>
    <row r="7">
      <c r="A7" s="54" t="s">
        <v>483</v>
      </c>
      <c r="B7" s="212">
        <v>77.0</v>
      </c>
      <c r="C7" s="212">
        <v>66.0</v>
      </c>
      <c r="D7" s="212">
        <v>61.0</v>
      </c>
      <c r="E7" s="212">
        <v>65.0</v>
      </c>
      <c r="F7" s="212">
        <v>65.0</v>
      </c>
      <c r="G7" s="212">
        <v>75.0</v>
      </c>
      <c r="H7" s="212">
        <v>77.0</v>
      </c>
      <c r="I7" s="212">
        <v>83.0</v>
      </c>
      <c r="J7" s="212">
        <v>75.0</v>
      </c>
      <c r="K7" s="365"/>
      <c r="L7" s="44"/>
      <c r="M7" s="212">
        <v>64.0</v>
      </c>
    </row>
    <row r="8">
      <c r="A8" s="54" t="s">
        <v>484</v>
      </c>
      <c r="B8" s="212">
        <v>3.86</v>
      </c>
      <c r="C8" s="212">
        <v>3.97</v>
      </c>
      <c r="D8" s="212">
        <v>3.82</v>
      </c>
      <c r="E8" s="212">
        <v>3.24</v>
      </c>
      <c r="F8" s="212">
        <v>3.26</v>
      </c>
      <c r="G8" s="212">
        <v>2.99</v>
      </c>
      <c r="H8" s="212">
        <v>2.96</v>
      </c>
      <c r="I8" s="212">
        <v>2.95</v>
      </c>
      <c r="J8" s="212">
        <v>2.91</v>
      </c>
      <c r="K8" s="365"/>
      <c r="L8" s="44"/>
      <c r="M8" s="212">
        <v>3.0</v>
      </c>
    </row>
    <row r="9">
      <c r="A9" s="54" t="s">
        <v>485</v>
      </c>
      <c r="B9" s="212">
        <v>94.0</v>
      </c>
      <c r="C9" s="212">
        <v>92.0</v>
      </c>
      <c r="D9" s="212">
        <v>96.0</v>
      </c>
      <c r="E9" s="212">
        <v>113.0</v>
      </c>
      <c r="F9" s="212">
        <v>112.0</v>
      </c>
      <c r="G9" s="212">
        <v>122.0</v>
      </c>
      <c r="H9" s="212">
        <v>123.0</v>
      </c>
      <c r="I9" s="212">
        <v>124.0</v>
      </c>
      <c r="J9" s="212">
        <v>126.0</v>
      </c>
      <c r="K9" s="365"/>
      <c r="L9" s="44"/>
      <c r="M9" s="212">
        <v>100.0</v>
      </c>
    </row>
    <row r="10">
      <c r="A10" s="54" t="s">
        <v>486</v>
      </c>
      <c r="B10" s="212">
        <v>0.09</v>
      </c>
      <c r="C10" s="212">
        <v>0.11</v>
      </c>
      <c r="D10" s="212">
        <v>0.09</v>
      </c>
      <c r="E10" s="212">
        <v>0.08</v>
      </c>
      <c r="F10" s="212">
        <v>0.07</v>
      </c>
      <c r="G10" s="212">
        <v>0.07</v>
      </c>
      <c r="H10" s="212">
        <v>0.07</v>
      </c>
      <c r="I10" s="212">
        <v>0.08</v>
      </c>
      <c r="J10" s="212">
        <v>0.08</v>
      </c>
      <c r="K10" s="365"/>
      <c r="L10" s="44"/>
      <c r="M10" s="212">
        <v>0.08</v>
      </c>
    </row>
    <row r="11">
      <c r="A11" s="54" t="s">
        <v>487</v>
      </c>
      <c r="B11" s="212">
        <v>4035.0</v>
      </c>
      <c r="C11" s="212">
        <v>3416.0</v>
      </c>
      <c r="D11" s="212">
        <v>3877.0</v>
      </c>
      <c r="E11" s="212">
        <v>4686.0</v>
      </c>
      <c r="F11" s="212">
        <v>4876.0</v>
      </c>
      <c r="G11" s="212">
        <v>4930.0</v>
      </c>
      <c r="H11" s="212">
        <v>4893.0</v>
      </c>
      <c r="I11" s="212">
        <v>4809.0</v>
      </c>
      <c r="J11" s="212">
        <v>4358.0</v>
      </c>
      <c r="K11" s="365"/>
      <c r="L11" s="80"/>
      <c r="M11" s="212">
        <v>3988.0</v>
      </c>
    </row>
    <row r="12">
      <c r="A12" s="54" t="s">
        <v>488</v>
      </c>
      <c r="B12" s="212">
        <v>0.45</v>
      </c>
      <c r="C12" s="212">
        <v>0.47</v>
      </c>
      <c r="D12" s="212">
        <v>0.44</v>
      </c>
      <c r="E12" s="212">
        <v>0.47</v>
      </c>
      <c r="F12" s="212">
        <v>0.45</v>
      </c>
      <c r="G12" s="212">
        <v>0.46</v>
      </c>
      <c r="H12" s="212">
        <v>0.44</v>
      </c>
      <c r="I12" s="212">
        <v>0.46</v>
      </c>
      <c r="J12" s="212">
        <v>0.47</v>
      </c>
      <c r="K12" s="62">
        <v>0.49</v>
      </c>
      <c r="L12" s="366">
        <v>-0.0553</v>
      </c>
      <c r="M12" s="212">
        <v>0.41</v>
      </c>
    </row>
    <row r="13">
      <c r="A13" s="186" t="s">
        <v>489</v>
      </c>
      <c r="B13" s="220">
        <v>1.63</v>
      </c>
      <c r="C13" s="220">
        <v>1.56</v>
      </c>
      <c r="D13" s="220">
        <v>1.32</v>
      </c>
      <c r="E13" s="220">
        <v>1.19</v>
      </c>
      <c r="F13" s="220">
        <v>1.38</v>
      </c>
      <c r="G13" s="220">
        <v>1.33</v>
      </c>
      <c r="H13" s="220">
        <v>1.33</v>
      </c>
      <c r="I13" s="220">
        <v>1.35</v>
      </c>
      <c r="J13" s="220">
        <v>1.38</v>
      </c>
      <c r="K13" s="367"/>
      <c r="L13" s="368"/>
      <c r="M13" s="220">
        <v>1.25</v>
      </c>
    </row>
    <row r="16">
      <c r="A16" s="369" t="s">
        <v>490</v>
      </c>
      <c r="B16" s="174">
        <v>2023.0</v>
      </c>
      <c r="C16" s="174">
        <v>2022.0</v>
      </c>
      <c r="D16" s="174">
        <v>2021.0</v>
      </c>
      <c r="E16" s="174">
        <v>2020.0</v>
      </c>
      <c r="F16" s="174">
        <v>2019.0</v>
      </c>
      <c r="G16" s="174">
        <v>2018.0</v>
      </c>
      <c r="H16" s="174">
        <v>2017.0</v>
      </c>
      <c r="I16" s="174">
        <v>2016.0</v>
      </c>
      <c r="J16" s="174">
        <v>2015.0</v>
      </c>
      <c r="K16" s="174">
        <v>2014.0</v>
      </c>
      <c r="L16" s="370" t="s">
        <v>0</v>
      </c>
    </row>
    <row r="17">
      <c r="A17" s="371" t="s">
        <v>491</v>
      </c>
      <c r="B17" s="372">
        <v>1316.671069</v>
      </c>
      <c r="C17" s="372">
        <v>1373.704437</v>
      </c>
      <c r="D17" s="372">
        <v>1515.649744</v>
      </c>
      <c r="E17" s="372">
        <v>1182.407438</v>
      </c>
      <c r="F17" s="372">
        <v>1397.364534</v>
      </c>
      <c r="G17" s="372">
        <v>1449.045119</v>
      </c>
      <c r="H17" s="372">
        <v>1555.569991</v>
      </c>
      <c r="I17" s="372">
        <v>1382.901961</v>
      </c>
      <c r="J17" s="372">
        <v>1271.42553</v>
      </c>
      <c r="K17" s="372">
        <v>1281.803391</v>
      </c>
      <c r="L17" s="373">
        <f t="shared" ref="L17:L20" si="1">Average(B17:K17)</f>
        <v>1372.654321</v>
      </c>
    </row>
    <row r="18">
      <c r="A18" s="374" t="s">
        <v>492</v>
      </c>
      <c r="B18" s="375">
        <v>0.277214263</v>
      </c>
      <c r="C18" s="375">
        <v>0.2657049</v>
      </c>
      <c r="D18" s="375">
        <v>0.240820811</v>
      </c>
      <c r="E18" s="375">
        <v>0.308692239</v>
      </c>
      <c r="F18" s="375">
        <v>0.261206</v>
      </c>
      <c r="G18" s="375">
        <v>0.251890017</v>
      </c>
      <c r="H18" s="375">
        <v>0.23464068</v>
      </c>
      <c r="I18" s="375">
        <v>0.263937727</v>
      </c>
      <c r="J18" s="375">
        <v>0.287079338</v>
      </c>
      <c r="K18" s="375">
        <v>0.284755059</v>
      </c>
      <c r="L18" s="376">
        <f t="shared" si="1"/>
        <v>0.2675941034</v>
      </c>
    </row>
    <row r="19">
      <c r="A19" s="377" t="s">
        <v>493</v>
      </c>
      <c r="B19" s="378">
        <v>2.498068113</v>
      </c>
      <c r="C19" s="378">
        <v>2.806599248</v>
      </c>
      <c r="D19" s="378">
        <v>3.014989715</v>
      </c>
      <c r="E19" s="378">
        <v>2.307812242</v>
      </c>
      <c r="F19" s="378">
        <v>2.623116713</v>
      </c>
      <c r="G19" s="378">
        <v>2.608820989</v>
      </c>
      <c r="H19" s="378">
        <v>2.489499856</v>
      </c>
      <c r="I19" s="378">
        <v>2.123269639</v>
      </c>
      <c r="J19" s="378">
        <v>2.106588928</v>
      </c>
      <c r="K19" s="378">
        <v>2.204727636</v>
      </c>
      <c r="L19" s="379">
        <f t="shared" si="1"/>
        <v>2.478349308</v>
      </c>
    </row>
    <row r="20">
      <c r="A20" s="336" t="s">
        <v>494</v>
      </c>
      <c r="B20" s="380">
        <v>146.1129094</v>
      </c>
      <c r="C20" s="380">
        <v>130.0506299</v>
      </c>
      <c r="D20" s="380">
        <v>121.0617728</v>
      </c>
      <c r="E20" s="380">
        <v>158.1584469</v>
      </c>
      <c r="F20" s="380">
        <v>139.1474494</v>
      </c>
      <c r="G20" s="380">
        <v>139.9099446</v>
      </c>
      <c r="H20" s="380">
        <v>146.6157948</v>
      </c>
      <c r="I20" s="380">
        <v>171.9046857</v>
      </c>
      <c r="J20" s="380">
        <v>173.2658874</v>
      </c>
      <c r="K20" s="380">
        <v>165.5533292</v>
      </c>
      <c r="L20" s="381">
        <f t="shared" si="1"/>
        <v>149.178085</v>
      </c>
    </row>
    <row r="23">
      <c r="A23" s="382" t="s">
        <v>495</v>
      </c>
      <c r="B23" s="17">
        <v>2023.0</v>
      </c>
      <c r="C23" s="17">
        <v>2022.0</v>
      </c>
      <c r="D23" s="17">
        <v>2021.0</v>
      </c>
      <c r="E23" s="17">
        <v>2020.0</v>
      </c>
      <c r="F23" s="17">
        <v>2019.0</v>
      </c>
      <c r="G23" s="17">
        <v>2018.0</v>
      </c>
      <c r="H23" s="17">
        <v>2017.0</v>
      </c>
      <c r="I23" s="17">
        <v>2016.0</v>
      </c>
      <c r="J23" s="17">
        <v>2015.0</v>
      </c>
      <c r="K23" s="17">
        <v>2014.0</v>
      </c>
      <c r="L23" s="247" t="s">
        <v>398</v>
      </c>
    </row>
    <row r="24">
      <c r="A24" s="36" t="s">
        <v>491</v>
      </c>
      <c r="B24" s="37">
        <v>4659.08</v>
      </c>
      <c r="C24" s="37">
        <v>2660.3</v>
      </c>
      <c r="D24" s="37">
        <v>3787.94</v>
      </c>
      <c r="E24" s="37">
        <v>2557.51</v>
      </c>
      <c r="F24" s="37">
        <v>3021.22</v>
      </c>
      <c r="G24" s="37">
        <v>2975.04</v>
      </c>
      <c r="H24" s="37">
        <v>3352.07</v>
      </c>
      <c r="I24" s="37">
        <v>5621.65</v>
      </c>
      <c r="J24" s="37">
        <v>5986.51</v>
      </c>
      <c r="K24" s="37">
        <v>5407.71</v>
      </c>
      <c r="L24" s="37">
        <v>4002.9</v>
      </c>
    </row>
    <row r="25">
      <c r="A25" s="155" t="s">
        <v>492</v>
      </c>
      <c r="B25" s="157">
        <v>0.08</v>
      </c>
      <c r="C25" s="157">
        <v>0.14</v>
      </c>
      <c r="D25" s="157">
        <v>0.1</v>
      </c>
      <c r="E25" s="157">
        <v>0.14</v>
      </c>
      <c r="F25" s="157">
        <v>0.12</v>
      </c>
      <c r="G25" s="157">
        <v>0.12</v>
      </c>
      <c r="H25" s="157">
        <v>0.11</v>
      </c>
      <c r="I25" s="157">
        <v>0.06</v>
      </c>
      <c r="J25" s="157">
        <v>0.06</v>
      </c>
      <c r="K25" s="157">
        <v>0.07</v>
      </c>
      <c r="L25" s="157">
        <v>0.1</v>
      </c>
    </row>
    <row r="26">
      <c r="A26" s="147" t="s">
        <v>493</v>
      </c>
      <c r="B26" s="250">
        <v>5.68</v>
      </c>
      <c r="C26" s="250">
        <v>4.08</v>
      </c>
      <c r="D26" s="250">
        <v>3.66</v>
      </c>
      <c r="E26" s="250">
        <v>2.41</v>
      </c>
      <c r="F26" s="250">
        <v>2.45</v>
      </c>
      <c r="G26" s="250">
        <v>3.02</v>
      </c>
      <c r="H26" s="250">
        <v>3.16</v>
      </c>
      <c r="I26" s="250">
        <v>3.35</v>
      </c>
      <c r="J26" s="250">
        <v>3.19</v>
      </c>
      <c r="K26" s="250">
        <v>2.95</v>
      </c>
      <c r="L26" s="250">
        <v>3.39</v>
      </c>
    </row>
    <row r="27">
      <c r="A27" s="383" t="s">
        <v>494</v>
      </c>
      <c r="B27" s="384">
        <v>64.29</v>
      </c>
      <c r="C27" s="384">
        <v>89.42</v>
      </c>
      <c r="D27" s="384">
        <v>99.69</v>
      </c>
      <c r="E27" s="384">
        <v>151.31</v>
      </c>
      <c r="F27" s="384">
        <v>149.11</v>
      </c>
      <c r="G27" s="384">
        <v>121.03</v>
      </c>
      <c r="H27" s="384">
        <v>115.68</v>
      </c>
      <c r="I27" s="384">
        <v>108.99</v>
      </c>
      <c r="J27" s="384">
        <v>114.54</v>
      </c>
      <c r="K27" s="384">
        <v>123.68</v>
      </c>
      <c r="L27" s="384">
        <v>113.77</v>
      </c>
    </row>
    <row r="28">
      <c r="A28" s="248" t="s">
        <v>496</v>
      </c>
      <c r="B28" s="249">
        <v>1.66</v>
      </c>
      <c r="C28" s="249">
        <v>1.7</v>
      </c>
      <c r="D28" s="249">
        <v>1.48</v>
      </c>
      <c r="E28" s="249">
        <v>0.71</v>
      </c>
      <c r="F28" s="249">
        <v>0.72</v>
      </c>
      <c r="G28" s="249">
        <v>0.87</v>
      </c>
      <c r="H28" s="249">
        <v>1.12</v>
      </c>
      <c r="I28" s="249">
        <v>0.98</v>
      </c>
      <c r="J28" s="249">
        <v>0.91</v>
      </c>
      <c r="K28" s="249">
        <v>0.81</v>
      </c>
      <c r="L28" s="384">
        <v>1.09</v>
      </c>
    </row>
    <row r="31">
      <c r="A31" s="385" t="s">
        <v>497</v>
      </c>
      <c r="B31" s="386">
        <v>2023.0</v>
      </c>
      <c r="C31" s="387">
        <v>2022.0</v>
      </c>
      <c r="D31" s="388">
        <v>2021.0</v>
      </c>
      <c r="E31" s="388">
        <v>2020.0</v>
      </c>
      <c r="F31" s="388">
        <v>2019.0</v>
      </c>
      <c r="G31" s="388">
        <v>2018.0</v>
      </c>
      <c r="H31" s="388">
        <v>2017.0</v>
      </c>
      <c r="I31" s="388">
        <v>2016.0</v>
      </c>
      <c r="J31" s="388">
        <v>2015.0</v>
      </c>
      <c r="K31" s="389">
        <v>2014.0</v>
      </c>
      <c r="L31" s="390" t="s">
        <v>0</v>
      </c>
    </row>
    <row r="32">
      <c r="A32" s="11" t="s">
        <v>491</v>
      </c>
      <c r="B32" s="391">
        <v>1.47</v>
      </c>
      <c r="C32" s="391">
        <v>1.96</v>
      </c>
      <c r="D32" s="391">
        <v>1.97</v>
      </c>
      <c r="E32" s="391">
        <v>1.4</v>
      </c>
      <c r="F32" s="391">
        <v>1.99</v>
      </c>
      <c r="G32" s="391">
        <v>1.94</v>
      </c>
      <c r="H32" s="391">
        <v>2.5</v>
      </c>
      <c r="I32" s="391">
        <v>2.63</v>
      </c>
      <c r="J32" s="391">
        <v>3.11</v>
      </c>
      <c r="K32" s="392">
        <v>6.09</v>
      </c>
      <c r="L32" s="231">
        <v>2.51</v>
      </c>
    </row>
    <row r="33">
      <c r="A33" s="11" t="s">
        <v>492</v>
      </c>
      <c r="B33" s="391">
        <v>248.0</v>
      </c>
      <c r="C33" s="391">
        <v>186.0</v>
      </c>
      <c r="D33" s="391">
        <v>186.0</v>
      </c>
      <c r="E33" s="391">
        <v>260.0</v>
      </c>
      <c r="F33" s="391">
        <v>184.0</v>
      </c>
      <c r="G33" s="391">
        <v>188.0</v>
      </c>
      <c r="H33" s="391">
        <v>146.0</v>
      </c>
      <c r="I33" s="391">
        <v>139.0</v>
      </c>
      <c r="J33" s="391">
        <v>117.0</v>
      </c>
      <c r="K33" s="392">
        <v>60.0</v>
      </c>
      <c r="L33" s="231">
        <v>171.33</v>
      </c>
    </row>
    <row r="34">
      <c r="A34" s="11" t="s">
        <v>498</v>
      </c>
      <c r="B34" s="391">
        <v>5.99</v>
      </c>
      <c r="C34" s="391">
        <v>5.09</v>
      </c>
      <c r="D34" s="391">
        <v>4.36</v>
      </c>
      <c r="E34" s="391">
        <v>2.96</v>
      </c>
      <c r="F34" s="391">
        <v>4.6</v>
      </c>
      <c r="G34" s="391">
        <v>4.42</v>
      </c>
      <c r="H34" s="391">
        <v>4.08</v>
      </c>
      <c r="I34" s="391">
        <v>3.54</v>
      </c>
      <c r="J34" s="391">
        <v>3.12</v>
      </c>
      <c r="K34" s="392">
        <v>5.35</v>
      </c>
      <c r="L34" s="231">
        <v>4.35</v>
      </c>
    </row>
    <row r="35">
      <c r="A35" s="11" t="s">
        <v>499</v>
      </c>
      <c r="B35" s="391">
        <v>61.0</v>
      </c>
      <c r="C35" s="391">
        <v>72.0</v>
      </c>
      <c r="D35" s="391">
        <v>84.0</v>
      </c>
      <c r="E35" s="391">
        <v>123.0</v>
      </c>
      <c r="F35" s="391">
        <v>79.0</v>
      </c>
      <c r="G35" s="391">
        <v>83.0</v>
      </c>
      <c r="H35" s="391">
        <v>89.0</v>
      </c>
      <c r="I35" s="391">
        <v>103.0</v>
      </c>
      <c r="J35" s="391">
        <v>117.0</v>
      </c>
      <c r="K35" s="392">
        <v>68.0</v>
      </c>
      <c r="L35" s="231">
        <v>87.89</v>
      </c>
    </row>
    <row r="36">
      <c r="A36" s="11" t="s">
        <v>500</v>
      </c>
      <c r="B36" s="391">
        <v>1.24</v>
      </c>
      <c r="C36" s="391">
        <v>2.04</v>
      </c>
      <c r="D36" s="391">
        <v>1.66</v>
      </c>
      <c r="E36" s="391">
        <v>0.97</v>
      </c>
      <c r="F36" s="391">
        <v>1.21</v>
      </c>
      <c r="G36" s="391">
        <v>1.12</v>
      </c>
      <c r="H36" s="391">
        <v>1.41</v>
      </c>
      <c r="I36" s="391">
        <v>1.17</v>
      </c>
      <c r="J36" s="391">
        <v>1.39</v>
      </c>
      <c r="K36" s="392">
        <v>2.81</v>
      </c>
      <c r="L36" s="231">
        <v>1.5</v>
      </c>
    </row>
    <row r="37">
      <c r="A37" s="11" t="s">
        <v>501</v>
      </c>
      <c r="B37" s="391">
        <v>295.0</v>
      </c>
      <c r="C37" s="391">
        <v>179.0</v>
      </c>
      <c r="D37" s="391">
        <v>219.0</v>
      </c>
      <c r="E37" s="391">
        <v>376.0</v>
      </c>
      <c r="F37" s="391">
        <v>301.0</v>
      </c>
      <c r="G37" s="391">
        <v>325.0</v>
      </c>
      <c r="H37" s="391">
        <v>260.0</v>
      </c>
      <c r="I37" s="391">
        <v>312.0</v>
      </c>
      <c r="J37" s="391">
        <v>263.0</v>
      </c>
      <c r="K37" s="392">
        <v>130.0</v>
      </c>
      <c r="L37" s="231">
        <v>265.88</v>
      </c>
    </row>
    <row r="38">
      <c r="A38" s="11" t="s">
        <v>502</v>
      </c>
      <c r="B38" s="391">
        <v>0.87</v>
      </c>
      <c r="C38" s="391">
        <v>1.04</v>
      </c>
      <c r="D38" s="391">
        <v>1.02</v>
      </c>
      <c r="E38" s="391">
        <v>1.15</v>
      </c>
      <c r="F38" s="391">
        <v>0.89</v>
      </c>
      <c r="G38" s="391">
        <v>0.85</v>
      </c>
      <c r="H38" s="391">
        <v>0.88</v>
      </c>
      <c r="I38" s="391">
        <v>0.85</v>
      </c>
      <c r="J38" s="391">
        <v>0.86</v>
      </c>
      <c r="K38" s="392">
        <v>0.83</v>
      </c>
      <c r="L38" s="231">
        <v>0.92</v>
      </c>
    </row>
    <row r="39">
      <c r="A39" s="393" t="s">
        <v>503</v>
      </c>
      <c r="B39" s="394">
        <v>0.86</v>
      </c>
      <c r="C39" s="394">
        <v>0.73</v>
      </c>
      <c r="D39" s="394">
        <v>0.57</v>
      </c>
      <c r="E39" s="394">
        <v>0.45</v>
      </c>
      <c r="F39" s="394">
        <v>0.99</v>
      </c>
      <c r="G39" s="394">
        <v>1.04</v>
      </c>
      <c r="H39" s="394">
        <v>1.07</v>
      </c>
      <c r="I39" s="394">
        <v>1.04</v>
      </c>
      <c r="J39" s="394">
        <v>1.0</v>
      </c>
      <c r="K39" s="395">
        <v>1.85</v>
      </c>
      <c r="L39" s="396">
        <v>0.96</v>
      </c>
    </row>
    <row r="43">
      <c r="A43" s="397" t="s">
        <v>504</v>
      </c>
      <c r="B43" s="398">
        <v>2023.0</v>
      </c>
      <c r="C43" s="398">
        <v>2022.0</v>
      </c>
      <c r="D43" s="398">
        <v>2021.0</v>
      </c>
      <c r="E43" s="398">
        <v>2020.0</v>
      </c>
      <c r="F43" s="398">
        <v>2019.0</v>
      </c>
      <c r="G43" s="398">
        <v>2018.0</v>
      </c>
      <c r="H43" s="398">
        <v>2017.0</v>
      </c>
      <c r="I43" s="398">
        <v>2016.0</v>
      </c>
      <c r="J43" s="398">
        <v>2015.0</v>
      </c>
      <c r="K43" s="399" t="s">
        <v>0</v>
      </c>
      <c r="L43" s="20" t="s">
        <v>505</v>
      </c>
    </row>
    <row r="44">
      <c r="A44" s="400" t="s">
        <v>506</v>
      </c>
      <c r="B44" s="344"/>
      <c r="C44" s="344"/>
      <c r="D44" s="344"/>
      <c r="E44" s="344"/>
      <c r="F44" s="344"/>
      <c r="G44" s="344"/>
      <c r="H44" s="344"/>
      <c r="I44" s="344"/>
      <c r="J44" s="344"/>
      <c r="K44" s="345"/>
    </row>
    <row r="45">
      <c r="A45" s="346" t="s">
        <v>453</v>
      </c>
      <c r="B45" s="401">
        <f t="shared" ref="B45:J45" si="2">B6</f>
        <v>4.76</v>
      </c>
      <c r="C45" s="401">
        <f t="shared" si="2"/>
        <v>5.56</v>
      </c>
      <c r="D45" s="401">
        <f t="shared" si="2"/>
        <v>5.97</v>
      </c>
      <c r="E45" s="401">
        <f t="shared" si="2"/>
        <v>5.63</v>
      </c>
      <c r="F45" s="401">
        <f t="shared" si="2"/>
        <v>5.58</v>
      </c>
      <c r="G45" s="401">
        <f t="shared" si="2"/>
        <v>4.87</v>
      </c>
      <c r="H45" s="401">
        <f t="shared" si="2"/>
        <v>4.71</v>
      </c>
      <c r="I45" s="401">
        <f t="shared" si="2"/>
        <v>4.41</v>
      </c>
      <c r="J45" s="401">
        <f t="shared" si="2"/>
        <v>4.88</v>
      </c>
      <c r="K45" s="402">
        <f>M6</f>
        <v>4.64</v>
      </c>
    </row>
    <row r="46">
      <c r="A46" s="349" t="s">
        <v>454</v>
      </c>
      <c r="B46" s="403">
        <f t="shared" ref="B46:J46" si="3">AVERAGE(B32,B24,B17)</f>
        <v>1992.407023</v>
      </c>
      <c r="C46" s="403">
        <f t="shared" si="3"/>
        <v>1345.321479</v>
      </c>
      <c r="D46" s="403">
        <f t="shared" si="3"/>
        <v>1768.519915</v>
      </c>
      <c r="E46" s="403">
        <f t="shared" si="3"/>
        <v>1247.105813</v>
      </c>
      <c r="F46" s="403">
        <f t="shared" si="3"/>
        <v>1473.524845</v>
      </c>
      <c r="G46" s="403">
        <f t="shared" si="3"/>
        <v>1475.341706</v>
      </c>
      <c r="H46" s="403">
        <f t="shared" si="3"/>
        <v>1636.71333</v>
      </c>
      <c r="I46" s="403">
        <f t="shared" si="3"/>
        <v>2335.72732</v>
      </c>
      <c r="J46" s="403">
        <f t="shared" si="3"/>
        <v>2420.34851</v>
      </c>
      <c r="K46" s="404">
        <f>average(L32,L24,L17)</f>
        <v>1792.688107</v>
      </c>
    </row>
    <row r="47">
      <c r="A47" s="405" t="s">
        <v>507</v>
      </c>
      <c r="B47" s="353"/>
      <c r="C47" s="353"/>
      <c r="D47" s="353"/>
      <c r="E47" s="353"/>
      <c r="F47" s="353"/>
      <c r="G47" s="353"/>
      <c r="H47" s="353"/>
      <c r="I47" s="353"/>
      <c r="J47" s="353"/>
      <c r="K47" s="354"/>
    </row>
    <row r="48">
      <c r="A48" s="346" t="s">
        <v>453</v>
      </c>
      <c r="B48" s="401">
        <f t="shared" ref="B48:J48" si="4">B7</f>
        <v>77</v>
      </c>
      <c r="C48" s="401">
        <f t="shared" si="4"/>
        <v>66</v>
      </c>
      <c r="D48" s="401">
        <f t="shared" si="4"/>
        <v>61</v>
      </c>
      <c r="E48" s="401">
        <f t="shared" si="4"/>
        <v>65</v>
      </c>
      <c r="F48" s="401">
        <f t="shared" si="4"/>
        <v>65</v>
      </c>
      <c r="G48" s="401">
        <f t="shared" si="4"/>
        <v>75</v>
      </c>
      <c r="H48" s="401">
        <f t="shared" si="4"/>
        <v>77</v>
      </c>
      <c r="I48" s="401">
        <f t="shared" si="4"/>
        <v>83</v>
      </c>
      <c r="J48" s="401">
        <f t="shared" si="4"/>
        <v>75</v>
      </c>
      <c r="K48" s="402">
        <f>M7</f>
        <v>64</v>
      </c>
      <c r="L48" s="406"/>
    </row>
    <row r="49">
      <c r="A49" s="349" t="s">
        <v>454</v>
      </c>
      <c r="B49" s="407">
        <f t="shared" ref="B49:J49" si="5">AVERAGE(B33,B25,B18,)</f>
        <v>62.08930357</v>
      </c>
      <c r="C49" s="407">
        <f t="shared" si="5"/>
        <v>46.60142623</v>
      </c>
      <c r="D49" s="407">
        <f t="shared" si="5"/>
        <v>46.5852052</v>
      </c>
      <c r="E49" s="407">
        <f t="shared" si="5"/>
        <v>65.11217306</v>
      </c>
      <c r="F49" s="407">
        <f t="shared" si="5"/>
        <v>46.0953015</v>
      </c>
      <c r="G49" s="407">
        <f t="shared" si="5"/>
        <v>47.0929725</v>
      </c>
      <c r="H49" s="407">
        <f t="shared" si="5"/>
        <v>36.58616017</v>
      </c>
      <c r="I49" s="407">
        <f t="shared" si="5"/>
        <v>34.83098443</v>
      </c>
      <c r="J49" s="407">
        <f t="shared" si="5"/>
        <v>29.33676983</v>
      </c>
      <c r="K49" s="408">
        <f>average(L33,L25,L18)</f>
        <v>57.23253137</v>
      </c>
    </row>
    <row r="50">
      <c r="A50" s="405" t="s">
        <v>508</v>
      </c>
      <c r="B50" s="353"/>
      <c r="C50" s="353"/>
      <c r="D50" s="353"/>
      <c r="E50" s="353"/>
      <c r="F50" s="353"/>
      <c r="G50" s="353"/>
      <c r="H50" s="353"/>
      <c r="I50" s="353"/>
      <c r="J50" s="353"/>
      <c r="K50" s="354"/>
    </row>
    <row r="51">
      <c r="A51" s="346" t="s">
        <v>453</v>
      </c>
      <c r="B51" s="401">
        <f t="shared" ref="B51:J51" si="6">B8</f>
        <v>3.86</v>
      </c>
      <c r="C51" s="401">
        <f t="shared" si="6"/>
        <v>3.97</v>
      </c>
      <c r="D51" s="401">
        <f t="shared" si="6"/>
        <v>3.82</v>
      </c>
      <c r="E51" s="401">
        <f t="shared" si="6"/>
        <v>3.24</v>
      </c>
      <c r="F51" s="401">
        <f t="shared" si="6"/>
        <v>3.26</v>
      </c>
      <c r="G51" s="401">
        <f t="shared" si="6"/>
        <v>2.99</v>
      </c>
      <c r="H51" s="401">
        <f t="shared" si="6"/>
        <v>2.96</v>
      </c>
      <c r="I51" s="401">
        <f t="shared" si="6"/>
        <v>2.95</v>
      </c>
      <c r="J51" s="401">
        <f t="shared" si="6"/>
        <v>2.91</v>
      </c>
      <c r="K51" s="402">
        <f>M8</f>
        <v>3</v>
      </c>
    </row>
    <row r="52">
      <c r="A52" s="349" t="s">
        <v>454</v>
      </c>
      <c r="B52" s="409">
        <f t="shared" ref="B52:J52" si="7">AVERAGE(B34,B26,B19)</f>
        <v>4.722689371</v>
      </c>
      <c r="C52" s="409">
        <f t="shared" si="7"/>
        <v>3.992199749</v>
      </c>
      <c r="D52" s="409">
        <f t="shared" si="7"/>
        <v>3.678329905</v>
      </c>
      <c r="E52" s="409">
        <f t="shared" si="7"/>
        <v>2.559270747</v>
      </c>
      <c r="F52" s="409">
        <f t="shared" si="7"/>
        <v>3.224372238</v>
      </c>
      <c r="G52" s="409">
        <f t="shared" si="7"/>
        <v>3.349606996</v>
      </c>
      <c r="H52" s="409">
        <f t="shared" si="7"/>
        <v>3.243166619</v>
      </c>
      <c r="I52" s="409">
        <f t="shared" si="7"/>
        <v>3.004423213</v>
      </c>
      <c r="J52" s="409">
        <f t="shared" si="7"/>
        <v>2.805529643</v>
      </c>
      <c r="K52" s="410">
        <f>average(L34,L27,L19)</f>
        <v>40.19944977</v>
      </c>
    </row>
    <row r="53">
      <c r="A53" s="405" t="s">
        <v>509</v>
      </c>
      <c r="B53" s="353"/>
      <c r="C53" s="353"/>
      <c r="D53" s="353"/>
      <c r="E53" s="353"/>
      <c r="F53" s="353"/>
      <c r="G53" s="353"/>
      <c r="H53" s="353"/>
      <c r="I53" s="353"/>
      <c r="J53" s="353"/>
      <c r="K53" s="354"/>
    </row>
    <row r="54">
      <c r="A54" s="346" t="s">
        <v>453</v>
      </c>
      <c r="B54" s="411">
        <f t="shared" ref="B54:J54" si="8">B9</f>
        <v>94</v>
      </c>
      <c r="C54" s="411">
        <f t="shared" si="8"/>
        <v>92</v>
      </c>
      <c r="D54" s="411">
        <f t="shared" si="8"/>
        <v>96</v>
      </c>
      <c r="E54" s="411">
        <f t="shared" si="8"/>
        <v>113</v>
      </c>
      <c r="F54" s="411">
        <f t="shared" si="8"/>
        <v>112</v>
      </c>
      <c r="G54" s="411">
        <f t="shared" si="8"/>
        <v>122</v>
      </c>
      <c r="H54" s="411">
        <f t="shared" si="8"/>
        <v>123</v>
      </c>
      <c r="I54" s="411">
        <f t="shared" si="8"/>
        <v>124</v>
      </c>
      <c r="J54" s="411">
        <f t="shared" si="8"/>
        <v>126</v>
      </c>
      <c r="K54" s="412">
        <f>M9</f>
        <v>100</v>
      </c>
    </row>
    <row r="55">
      <c r="A55" s="362" t="s">
        <v>454</v>
      </c>
      <c r="B55" s="413">
        <f t="shared" ref="B55:J55" si="9">AVERAGE(B35,B27,B20)</f>
        <v>90.46763647</v>
      </c>
      <c r="C55" s="413">
        <f t="shared" si="9"/>
        <v>97.15687663</v>
      </c>
      <c r="D55" s="413">
        <f t="shared" si="9"/>
        <v>101.5839243</v>
      </c>
      <c r="E55" s="413">
        <f t="shared" si="9"/>
        <v>144.156149</v>
      </c>
      <c r="F55" s="413">
        <f t="shared" si="9"/>
        <v>122.4191498</v>
      </c>
      <c r="G55" s="413">
        <f t="shared" si="9"/>
        <v>114.6466482</v>
      </c>
      <c r="H55" s="413">
        <f t="shared" si="9"/>
        <v>117.0985983</v>
      </c>
      <c r="I55" s="413">
        <f t="shared" si="9"/>
        <v>127.9648952</v>
      </c>
      <c r="J55" s="413">
        <f t="shared" si="9"/>
        <v>134.9352958</v>
      </c>
      <c r="K55" s="414">
        <f>average(L35,L27,L20)</f>
        <v>116.9460283</v>
      </c>
    </row>
  </sheetData>
  <mergeCells count="1">
    <mergeCell ref="A2:M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3.78"/>
    <col customWidth="1" min="2" max="2" width="13.89"/>
    <col customWidth="1" min="3" max="12" width="11.78"/>
    <col customWidth="1" min="14" max="14" width="33.44"/>
    <col customWidth="1" min="15" max="22" width="11.78"/>
  </cols>
  <sheetData>
    <row r="2">
      <c r="A2" s="415" t="s">
        <v>510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7"/>
      <c r="M2" s="418"/>
      <c r="N2" s="419" t="s">
        <v>511</v>
      </c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7"/>
    </row>
    <row r="3">
      <c r="A3" s="420" t="s">
        <v>13</v>
      </c>
      <c r="B3" s="421">
        <v>45291.0</v>
      </c>
      <c r="C3" s="421">
        <v>44926.0</v>
      </c>
      <c r="D3" s="421">
        <v>44561.0</v>
      </c>
      <c r="E3" s="421">
        <v>44196.0</v>
      </c>
      <c r="F3" s="421">
        <v>43830.0</v>
      </c>
      <c r="G3" s="421">
        <v>43465.0</v>
      </c>
      <c r="H3" s="421">
        <v>43100.0</v>
      </c>
      <c r="I3" s="421">
        <v>42735.0</v>
      </c>
      <c r="J3" s="421">
        <v>42369.0</v>
      </c>
      <c r="K3" s="421">
        <v>42004.0</v>
      </c>
      <c r="L3" s="422" t="s">
        <v>25</v>
      </c>
      <c r="M3" s="418"/>
      <c r="N3" s="423" t="s">
        <v>512</v>
      </c>
      <c r="O3" s="424">
        <v>2023.0</v>
      </c>
      <c r="P3" s="424">
        <v>2022.0</v>
      </c>
      <c r="Q3" s="424">
        <v>2021.0</v>
      </c>
      <c r="R3" s="424">
        <v>2020.0</v>
      </c>
      <c r="S3" s="424">
        <v>2019.0</v>
      </c>
      <c r="T3" s="424">
        <v>2018.0</v>
      </c>
      <c r="U3" s="424">
        <v>2017.0</v>
      </c>
      <c r="V3" s="424">
        <v>2016.0</v>
      </c>
      <c r="W3" s="424">
        <v>2015.0</v>
      </c>
      <c r="X3" s="424">
        <v>2014.0</v>
      </c>
      <c r="Y3" s="425" t="s">
        <v>398</v>
      </c>
    </row>
    <row r="4">
      <c r="A4" s="54" t="s">
        <v>513</v>
      </c>
      <c r="B4" s="426">
        <v>4.48</v>
      </c>
      <c r="C4" s="426">
        <v>4.03</v>
      </c>
      <c r="D4" s="426">
        <v>3.6</v>
      </c>
      <c r="E4" s="426">
        <v>3.2</v>
      </c>
      <c r="F4" s="426">
        <v>3.77</v>
      </c>
      <c r="G4" s="426">
        <v>4.13</v>
      </c>
      <c r="H4" s="426">
        <v>4.44</v>
      </c>
      <c r="I4" s="426">
        <v>4.44</v>
      </c>
      <c r="J4" s="426">
        <v>4.44</v>
      </c>
      <c r="K4" s="426">
        <v>4.47</v>
      </c>
      <c r="L4" s="426">
        <v>4.1</v>
      </c>
      <c r="M4" s="418"/>
      <c r="N4" s="49"/>
      <c r="O4" s="427"/>
      <c r="P4" s="427"/>
      <c r="Q4" s="427"/>
      <c r="R4" s="427"/>
      <c r="S4" s="427"/>
      <c r="T4" s="427"/>
      <c r="U4" s="427"/>
      <c r="V4" s="427"/>
      <c r="W4" s="427"/>
      <c r="X4" s="427"/>
      <c r="Y4" s="16"/>
    </row>
    <row r="5">
      <c r="A5" s="54" t="s">
        <v>514</v>
      </c>
      <c r="B5" s="428" t="s">
        <v>515</v>
      </c>
      <c r="C5" s="428" t="s">
        <v>516</v>
      </c>
      <c r="D5" s="428" t="s">
        <v>517</v>
      </c>
      <c r="E5" s="428" t="s">
        <v>518</v>
      </c>
      <c r="F5" s="428" t="s">
        <v>519</v>
      </c>
      <c r="G5" s="428" t="s">
        <v>520</v>
      </c>
      <c r="H5" s="428" t="s">
        <v>521</v>
      </c>
      <c r="I5" s="428" t="s">
        <v>522</v>
      </c>
      <c r="J5" s="428" t="s">
        <v>523</v>
      </c>
      <c r="K5" s="428" t="s">
        <v>524</v>
      </c>
      <c r="L5" s="428" t="s">
        <v>525</v>
      </c>
      <c r="M5" s="418"/>
      <c r="N5" s="429" t="s">
        <v>526</v>
      </c>
      <c r="O5" s="430">
        <v>11.84</v>
      </c>
      <c r="P5" s="430">
        <v>13.16</v>
      </c>
      <c r="Q5" s="430">
        <v>8.81</v>
      </c>
      <c r="R5" s="430">
        <v>3.97</v>
      </c>
      <c r="S5" s="430">
        <v>5.79</v>
      </c>
      <c r="T5" s="430">
        <v>6.76</v>
      </c>
      <c r="U5" s="430">
        <v>0.69</v>
      </c>
      <c r="V5" s="430">
        <v>5.14</v>
      </c>
      <c r="W5" s="430">
        <v>4.11</v>
      </c>
      <c r="X5" s="430">
        <v>3.1</v>
      </c>
      <c r="Y5" s="430">
        <v>6.34</v>
      </c>
    </row>
    <row r="6">
      <c r="A6" s="186" t="s">
        <v>527</v>
      </c>
      <c r="B6" s="431" t="s">
        <v>528</v>
      </c>
      <c r="C6" s="431" t="s">
        <v>529</v>
      </c>
      <c r="D6" s="431" t="s">
        <v>530</v>
      </c>
      <c r="E6" s="431" t="s">
        <v>531</v>
      </c>
      <c r="F6" s="431" t="s">
        <v>532</v>
      </c>
      <c r="G6" s="431" t="s">
        <v>533</v>
      </c>
      <c r="H6" s="431" t="s">
        <v>534</v>
      </c>
      <c r="I6" s="431" t="s">
        <v>535</v>
      </c>
      <c r="J6" s="431" t="s">
        <v>536</v>
      </c>
      <c r="K6" s="431" t="s">
        <v>537</v>
      </c>
      <c r="L6" s="431" t="s">
        <v>538</v>
      </c>
      <c r="M6" s="418"/>
      <c r="N6" s="432" t="s">
        <v>539</v>
      </c>
      <c r="O6" s="433" t="s">
        <v>540</v>
      </c>
      <c r="P6" s="433" t="s">
        <v>541</v>
      </c>
      <c r="Q6" s="433" t="s">
        <v>542</v>
      </c>
      <c r="R6" s="433" t="s">
        <v>543</v>
      </c>
      <c r="S6" s="433" t="s">
        <v>544</v>
      </c>
      <c r="T6" s="433" t="s">
        <v>545</v>
      </c>
      <c r="U6" s="433" t="s">
        <v>546</v>
      </c>
      <c r="V6" s="433" t="s">
        <v>547</v>
      </c>
      <c r="W6" s="433" t="s">
        <v>548</v>
      </c>
      <c r="X6" s="433" t="s">
        <v>549</v>
      </c>
      <c r="Y6" s="434" t="s">
        <v>550</v>
      </c>
    </row>
    <row r="7">
      <c r="A7" s="418"/>
      <c r="B7" s="418"/>
      <c r="C7" s="418"/>
      <c r="D7" s="418"/>
      <c r="E7" s="418"/>
      <c r="F7" s="418"/>
      <c r="G7" s="418"/>
      <c r="H7" s="418"/>
      <c r="I7" s="418"/>
      <c r="J7" s="418"/>
      <c r="K7" s="418"/>
      <c r="L7" s="418"/>
      <c r="M7" s="418"/>
      <c r="N7" s="418"/>
      <c r="O7" s="418"/>
      <c r="P7" s="418"/>
      <c r="Q7" s="418"/>
      <c r="R7" s="418"/>
      <c r="S7" s="418"/>
      <c r="T7" s="418"/>
      <c r="U7" s="418"/>
      <c r="V7" s="418"/>
      <c r="W7" s="418"/>
      <c r="X7" s="418"/>
      <c r="Y7" s="418"/>
    </row>
    <row r="8">
      <c r="A8" s="418"/>
      <c r="B8" s="418"/>
      <c r="C8" s="418"/>
      <c r="D8" s="418"/>
      <c r="E8" s="418"/>
      <c r="F8" s="418"/>
      <c r="G8" s="418"/>
      <c r="H8" s="418"/>
      <c r="I8" s="418"/>
      <c r="J8" s="418"/>
      <c r="K8" s="418"/>
      <c r="L8" s="418"/>
      <c r="M8" s="418"/>
      <c r="N8" s="418"/>
      <c r="O8" s="418"/>
      <c r="P8" s="418"/>
      <c r="Q8" s="418"/>
      <c r="R8" s="418"/>
      <c r="S8" s="418"/>
      <c r="T8" s="418"/>
      <c r="U8" s="418"/>
      <c r="V8" s="418"/>
      <c r="W8" s="418"/>
      <c r="X8" s="418"/>
      <c r="Y8" s="418"/>
    </row>
    <row r="9">
      <c r="A9" s="435" t="s">
        <v>551</v>
      </c>
      <c r="B9" s="6"/>
      <c r="C9" s="6"/>
      <c r="D9" s="6"/>
      <c r="E9" s="6"/>
      <c r="F9" s="6"/>
      <c r="G9" s="6"/>
      <c r="H9" s="6"/>
      <c r="I9" s="6"/>
      <c r="J9" s="6"/>
      <c r="K9" s="6"/>
      <c r="L9" s="7"/>
      <c r="M9" s="418"/>
      <c r="N9" s="436" t="s">
        <v>552</v>
      </c>
      <c r="O9" s="416"/>
      <c r="P9" s="416"/>
      <c r="Q9" s="416"/>
      <c r="R9" s="416"/>
      <c r="S9" s="416"/>
      <c r="T9" s="416"/>
      <c r="U9" s="416"/>
      <c r="V9" s="416"/>
      <c r="W9" s="416"/>
      <c r="X9" s="417"/>
      <c r="Y9" s="418"/>
    </row>
    <row r="10">
      <c r="A10" s="437"/>
      <c r="B10" s="438">
        <v>2023.0</v>
      </c>
      <c r="C10" s="439">
        <v>2022.0</v>
      </c>
      <c r="D10" s="440">
        <v>2021.0</v>
      </c>
      <c r="E10" s="440">
        <v>2020.0</v>
      </c>
      <c r="F10" s="440">
        <v>2019.0</v>
      </c>
      <c r="G10" s="440">
        <v>2018.0</v>
      </c>
      <c r="H10" s="440">
        <v>2017.0</v>
      </c>
      <c r="I10" s="440">
        <v>2016.0</v>
      </c>
      <c r="J10" s="440">
        <v>2015.0</v>
      </c>
      <c r="K10" s="441">
        <v>2014.0</v>
      </c>
      <c r="L10" s="442" t="s">
        <v>398</v>
      </c>
      <c r="M10" s="418"/>
      <c r="N10" s="443" t="s">
        <v>13</v>
      </c>
      <c r="O10" s="444">
        <v>2023.0</v>
      </c>
      <c r="P10" s="444">
        <v>2022.0</v>
      </c>
      <c r="Q10" s="444">
        <v>2021.0</v>
      </c>
      <c r="R10" s="444">
        <v>2020.0</v>
      </c>
      <c r="S10" s="444">
        <v>2019.0</v>
      </c>
      <c r="T10" s="444">
        <v>2018.0</v>
      </c>
      <c r="U10" s="444">
        <v>2017.0</v>
      </c>
      <c r="V10" s="444">
        <v>2016.0</v>
      </c>
      <c r="W10" s="444">
        <v>2015.0</v>
      </c>
      <c r="X10" s="444">
        <v>2014.0</v>
      </c>
      <c r="Y10" s="173" t="s">
        <v>398</v>
      </c>
    </row>
    <row r="11">
      <c r="A11" s="445" t="s">
        <v>553</v>
      </c>
      <c r="B11" s="446">
        <v>21135.0</v>
      </c>
      <c r="C11" s="447">
        <v>142289.0</v>
      </c>
      <c r="D11" s="447">
        <v>6515.0</v>
      </c>
      <c r="E11" s="447">
        <v>-6731.0</v>
      </c>
      <c r="F11" s="447">
        <v>17400.0</v>
      </c>
      <c r="G11" s="447">
        <v>21296.0</v>
      </c>
      <c r="H11" s="447">
        <v>26398.0</v>
      </c>
      <c r="I11" s="447">
        <v>28920.0</v>
      </c>
      <c r="J11" s="447">
        <v>27372.0</v>
      </c>
      <c r="K11" s="448">
        <v>33100.0</v>
      </c>
      <c r="L11" s="449">
        <v>18969.6</v>
      </c>
      <c r="M11" s="450"/>
      <c r="N11" s="451" t="s">
        <v>554</v>
      </c>
      <c r="O11" s="426">
        <v>12.7</v>
      </c>
      <c r="P11" s="426">
        <v>15.35</v>
      </c>
      <c r="Q11" s="426">
        <v>7.3</v>
      </c>
      <c r="R11" s="426">
        <v>11.02</v>
      </c>
      <c r="S11" s="426">
        <v>11.71</v>
      </c>
      <c r="T11" s="426">
        <v>11.27</v>
      </c>
      <c r="U11" s="426">
        <v>9.74</v>
      </c>
      <c r="V11" s="426">
        <v>7.72</v>
      </c>
      <c r="W11" s="426">
        <v>6.44</v>
      </c>
      <c r="X11" s="452">
        <v>5.11</v>
      </c>
      <c r="Y11" s="453">
        <f>SUM(O11,P11,Q11,R11,S11,T11,U11,V11,W11,X11)/10</f>
        <v>9.836</v>
      </c>
    </row>
    <row r="12">
      <c r="A12" s="454" t="s">
        <v>555</v>
      </c>
      <c r="B12" s="455">
        <v>14491.0</v>
      </c>
      <c r="C12" s="456">
        <v>9297.0</v>
      </c>
      <c r="D12" s="456">
        <v>1795.0</v>
      </c>
      <c r="E12" s="456">
        <v>-4353.0</v>
      </c>
      <c r="F12" s="456">
        <v>14280.0</v>
      </c>
      <c r="G12" s="456">
        <v>16428.0</v>
      </c>
      <c r="H12" s="456">
        <v>21649.0</v>
      </c>
      <c r="I12" s="456">
        <v>17187.0</v>
      </c>
      <c r="J12" s="456">
        <v>14170.0</v>
      </c>
      <c r="K12" s="457">
        <v>15681.0</v>
      </c>
      <c r="L12" s="458">
        <v>12062.4</v>
      </c>
      <c r="M12" s="450"/>
      <c r="N12" s="459" t="s">
        <v>556</v>
      </c>
      <c r="O12" s="460" t="s">
        <v>557</v>
      </c>
      <c r="P12" s="460" t="s">
        <v>558</v>
      </c>
      <c r="Q12" s="460" t="s">
        <v>559</v>
      </c>
      <c r="R12" s="460" t="s">
        <v>560</v>
      </c>
      <c r="S12" s="460" t="s">
        <v>561</v>
      </c>
      <c r="T12" s="460" t="s">
        <v>562</v>
      </c>
      <c r="U12" s="460" t="s">
        <v>563</v>
      </c>
      <c r="V12" s="460" t="s">
        <v>564</v>
      </c>
      <c r="W12" s="461" t="s">
        <v>565</v>
      </c>
      <c r="X12" s="461" t="s">
        <v>566</v>
      </c>
      <c r="Y12" s="462">
        <v>248336.764</v>
      </c>
    </row>
    <row r="13">
      <c r="A13" s="463" t="s">
        <v>567</v>
      </c>
      <c r="B13" s="464">
        <v>4.9</v>
      </c>
      <c r="C13" s="464">
        <v>4.3</v>
      </c>
      <c r="D13" s="464">
        <v>4.1</v>
      </c>
      <c r="E13" s="464">
        <v>2.6</v>
      </c>
      <c r="F13" s="464">
        <v>7.0</v>
      </c>
      <c r="G13" s="464">
        <v>7.2</v>
      </c>
      <c r="H13" s="464">
        <v>7.0</v>
      </c>
      <c r="I13" s="464">
        <v>6.7</v>
      </c>
      <c r="J13" s="464">
        <v>6.8</v>
      </c>
      <c r="K13" s="465">
        <v>6.5</v>
      </c>
      <c r="L13" s="466">
        <v>5.7</v>
      </c>
      <c r="M13" s="418"/>
      <c r="N13" s="418"/>
      <c r="O13" s="418"/>
      <c r="P13" s="418"/>
      <c r="Q13" s="418"/>
      <c r="R13" s="418"/>
      <c r="S13" s="418"/>
      <c r="T13" s="418"/>
      <c r="U13" s="418"/>
      <c r="V13" s="418"/>
      <c r="W13" s="418"/>
      <c r="X13" s="418"/>
      <c r="Y13" s="418"/>
    </row>
    <row r="14">
      <c r="A14" s="418"/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8"/>
      <c r="M14" s="418"/>
      <c r="N14" s="418"/>
      <c r="O14" s="418"/>
      <c r="P14" s="418"/>
      <c r="Q14" s="418"/>
      <c r="R14" s="418"/>
      <c r="S14" s="418"/>
      <c r="T14" s="418"/>
      <c r="U14" s="418"/>
      <c r="V14" s="418"/>
      <c r="W14" s="418"/>
      <c r="X14" s="418"/>
      <c r="Y14" s="418"/>
    </row>
    <row r="15">
      <c r="A15" s="418"/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  <c r="M15" s="418"/>
      <c r="N15" s="418"/>
      <c r="O15" s="418"/>
      <c r="P15" s="418"/>
      <c r="Q15" s="418"/>
      <c r="R15" s="418"/>
      <c r="S15" s="418"/>
      <c r="T15" s="418"/>
      <c r="U15" s="418"/>
      <c r="V15" s="418"/>
      <c r="W15" s="418"/>
      <c r="X15" s="418"/>
      <c r="Y15" s="418"/>
    </row>
    <row r="16">
      <c r="A16" s="418"/>
      <c r="B16" s="418"/>
      <c r="C16" s="418"/>
      <c r="D16" s="418"/>
      <c r="E16" s="418"/>
      <c r="F16" s="418"/>
      <c r="G16" s="418"/>
      <c r="H16" s="418"/>
      <c r="I16" s="418"/>
      <c r="J16" s="418"/>
      <c r="K16" s="418"/>
      <c r="L16" s="418"/>
      <c r="M16" s="418"/>
      <c r="N16" s="418"/>
      <c r="O16" s="418"/>
      <c r="P16" s="418"/>
      <c r="Q16" s="418"/>
      <c r="R16" s="418"/>
      <c r="S16" s="418"/>
      <c r="T16" s="418"/>
      <c r="U16" s="418"/>
      <c r="V16" s="418"/>
      <c r="W16" s="418"/>
      <c r="X16" s="418"/>
      <c r="Y16" s="418"/>
    </row>
    <row r="17">
      <c r="A17" s="467" t="s">
        <v>568</v>
      </c>
      <c r="B17" s="416"/>
      <c r="C17" s="416"/>
      <c r="D17" s="416"/>
      <c r="E17" s="416"/>
      <c r="F17" s="416"/>
      <c r="G17" s="416"/>
      <c r="H17" s="416"/>
      <c r="I17" s="416"/>
      <c r="J17" s="416"/>
      <c r="K17" s="416"/>
      <c r="L17" s="417"/>
      <c r="M17" s="418"/>
      <c r="N17" s="418"/>
      <c r="O17" s="418"/>
      <c r="P17" s="418"/>
      <c r="Q17" s="418"/>
      <c r="R17" s="418"/>
      <c r="S17" s="418"/>
      <c r="T17" s="418"/>
      <c r="U17" s="418"/>
      <c r="V17" s="418"/>
      <c r="W17" s="418"/>
      <c r="X17" s="418"/>
      <c r="Y17" s="418"/>
    </row>
    <row r="18">
      <c r="A18" s="468" t="s">
        <v>13</v>
      </c>
      <c r="B18" s="469">
        <v>2023.0</v>
      </c>
      <c r="C18" s="469">
        <v>2022.0</v>
      </c>
      <c r="D18" s="469">
        <v>2021.0</v>
      </c>
      <c r="E18" s="469">
        <v>2020.0</v>
      </c>
      <c r="F18" s="469">
        <v>2019.0</v>
      </c>
      <c r="G18" s="469">
        <v>2018.0</v>
      </c>
      <c r="H18" s="469">
        <v>2017.0</v>
      </c>
      <c r="I18" s="469">
        <v>2016.0</v>
      </c>
      <c r="J18" s="469">
        <v>2015.0</v>
      </c>
      <c r="K18" s="469">
        <v>2014.0</v>
      </c>
      <c r="L18" s="469" t="s">
        <v>398</v>
      </c>
      <c r="M18" s="418"/>
      <c r="N18" s="418"/>
      <c r="O18" s="418"/>
      <c r="P18" s="418"/>
      <c r="Q18" s="418"/>
      <c r="R18" s="418"/>
      <c r="S18" s="418"/>
      <c r="T18" s="418"/>
      <c r="U18" s="418"/>
      <c r="V18" s="418"/>
      <c r="W18" s="418"/>
      <c r="X18" s="418"/>
      <c r="Y18" s="418"/>
    </row>
    <row r="19">
      <c r="A19" s="470" t="s">
        <v>513</v>
      </c>
      <c r="B19" s="471"/>
      <c r="C19" s="471"/>
      <c r="D19" s="471"/>
      <c r="E19" s="471"/>
      <c r="F19" s="471"/>
      <c r="G19" s="471"/>
      <c r="H19" s="471"/>
      <c r="I19" s="471"/>
      <c r="J19" s="471"/>
      <c r="K19" s="471"/>
      <c r="L19" s="471"/>
      <c r="M19" s="418"/>
      <c r="N19" s="418"/>
      <c r="O19" s="418"/>
      <c r="P19" s="418"/>
      <c r="Q19" s="418"/>
      <c r="R19" s="418"/>
      <c r="S19" s="418"/>
      <c r="T19" s="418"/>
      <c r="U19" s="418"/>
      <c r="V19" s="418"/>
      <c r="W19" s="418"/>
      <c r="X19" s="418"/>
      <c r="Y19" s="418"/>
    </row>
    <row r="20">
      <c r="A20" s="472" t="s">
        <v>453</v>
      </c>
      <c r="B20" s="473">
        <v>4.48</v>
      </c>
      <c r="C20" s="473">
        <v>4.03</v>
      </c>
      <c r="D20" s="473">
        <v>3.6</v>
      </c>
      <c r="E20" s="473">
        <v>3.2</v>
      </c>
      <c r="F20" s="473">
        <v>3.77</v>
      </c>
      <c r="G20" s="473">
        <v>4.13</v>
      </c>
      <c r="H20" s="473">
        <v>4.44</v>
      </c>
      <c r="I20" s="473">
        <v>4.44</v>
      </c>
      <c r="J20" s="473">
        <v>4.44</v>
      </c>
      <c r="K20" s="473">
        <v>4.47</v>
      </c>
      <c r="L20" s="473">
        <v>4.1</v>
      </c>
      <c r="M20" s="418"/>
      <c r="N20" s="418"/>
      <c r="O20" s="418"/>
      <c r="P20" s="418"/>
      <c r="Q20" s="418"/>
      <c r="R20" s="418"/>
      <c r="S20" s="418"/>
      <c r="T20" s="418"/>
      <c r="U20" s="418"/>
      <c r="V20" s="418"/>
      <c r="W20" s="418"/>
      <c r="X20" s="418"/>
      <c r="Y20" s="418"/>
    </row>
    <row r="21">
      <c r="A21" s="474" t="s">
        <v>454</v>
      </c>
      <c r="B21" s="475">
        <f t="shared" ref="B21:K21" si="1">(B13+O5+O11)/3</f>
        <v>9.813333333</v>
      </c>
      <c r="C21" s="475">
        <f t="shared" si="1"/>
        <v>10.93666667</v>
      </c>
      <c r="D21" s="475">
        <f t="shared" si="1"/>
        <v>6.736666667</v>
      </c>
      <c r="E21" s="475">
        <f t="shared" si="1"/>
        <v>5.863333333</v>
      </c>
      <c r="F21" s="475">
        <f t="shared" si="1"/>
        <v>8.166666667</v>
      </c>
      <c r="G21" s="475">
        <f t="shared" si="1"/>
        <v>8.41</v>
      </c>
      <c r="H21" s="475">
        <f t="shared" si="1"/>
        <v>5.81</v>
      </c>
      <c r="I21" s="475">
        <f t="shared" si="1"/>
        <v>6.52</v>
      </c>
      <c r="J21" s="475">
        <f t="shared" si="1"/>
        <v>5.783333333</v>
      </c>
      <c r="K21" s="475">
        <f t="shared" si="1"/>
        <v>4.903333333</v>
      </c>
      <c r="L21" s="475">
        <f>(B21+C21+D21+E21+F21+G21+H21+I21+J21+K21)/10</f>
        <v>7.294333333</v>
      </c>
      <c r="M21" s="418"/>
      <c r="N21" s="418"/>
      <c r="O21" s="418"/>
      <c r="P21" s="418"/>
      <c r="Q21" s="418"/>
      <c r="R21" s="418"/>
      <c r="S21" s="418"/>
      <c r="T21" s="418"/>
      <c r="U21" s="418"/>
      <c r="V21" s="418"/>
      <c r="W21" s="418"/>
      <c r="X21" s="418"/>
      <c r="Y21" s="418"/>
    </row>
    <row r="22">
      <c r="A22" s="470" t="s">
        <v>569</v>
      </c>
      <c r="B22" s="471"/>
      <c r="C22" s="471"/>
      <c r="D22" s="471"/>
      <c r="E22" s="471"/>
      <c r="F22" s="471"/>
      <c r="G22" s="471"/>
      <c r="H22" s="471"/>
      <c r="I22" s="471"/>
      <c r="J22" s="471"/>
      <c r="K22" s="471"/>
      <c r="L22" s="471"/>
      <c r="M22" s="418"/>
      <c r="N22" s="418"/>
      <c r="O22" s="418"/>
      <c r="P22" s="418"/>
      <c r="Q22" s="418"/>
      <c r="R22" s="418"/>
      <c r="S22" s="418"/>
      <c r="T22" s="418"/>
      <c r="U22" s="418"/>
      <c r="V22" s="418"/>
      <c r="W22" s="418"/>
      <c r="X22" s="418"/>
      <c r="Y22" s="418"/>
    </row>
    <row r="23">
      <c r="A23" s="472" t="s">
        <v>453</v>
      </c>
      <c r="B23" s="476" t="s">
        <v>515</v>
      </c>
      <c r="C23" s="476" t="s">
        <v>516</v>
      </c>
      <c r="D23" s="476" t="s">
        <v>517</v>
      </c>
      <c r="E23" s="476" t="s">
        <v>518</v>
      </c>
      <c r="F23" s="476" t="s">
        <v>519</v>
      </c>
      <c r="G23" s="476" t="s">
        <v>520</v>
      </c>
      <c r="H23" s="476" t="s">
        <v>521</v>
      </c>
      <c r="I23" s="476" t="s">
        <v>522</v>
      </c>
      <c r="J23" s="476" t="s">
        <v>523</v>
      </c>
      <c r="K23" s="476" t="s">
        <v>524</v>
      </c>
      <c r="L23" s="476" t="s">
        <v>525</v>
      </c>
      <c r="M23" s="418"/>
      <c r="N23" s="418"/>
      <c r="O23" s="418"/>
      <c r="P23" s="418"/>
      <c r="Q23" s="418"/>
      <c r="R23" s="418"/>
      <c r="S23" s="418"/>
      <c r="T23" s="418"/>
      <c r="U23" s="418"/>
      <c r="V23" s="418"/>
      <c r="W23" s="418"/>
      <c r="X23" s="418"/>
      <c r="Y23" s="418"/>
    </row>
    <row r="24">
      <c r="A24" s="477" t="s">
        <v>454</v>
      </c>
      <c r="B24" s="478" t="s">
        <v>570</v>
      </c>
      <c r="C24" s="479" t="s">
        <v>571</v>
      </c>
      <c r="D24" s="479" t="s">
        <v>572</v>
      </c>
      <c r="E24" s="479" t="s">
        <v>573</v>
      </c>
      <c r="F24" s="479" t="s">
        <v>574</v>
      </c>
      <c r="G24" s="479" t="s">
        <v>575</v>
      </c>
      <c r="H24" s="479" t="s">
        <v>576</v>
      </c>
      <c r="I24" s="479" t="s">
        <v>577</v>
      </c>
      <c r="J24" s="479" t="s">
        <v>578</v>
      </c>
      <c r="K24" s="479" t="s">
        <v>579</v>
      </c>
      <c r="L24" s="479" t="s">
        <v>580</v>
      </c>
      <c r="M24" s="418"/>
      <c r="N24" s="418"/>
      <c r="O24" s="418"/>
      <c r="P24" s="418"/>
      <c r="Q24" s="418"/>
      <c r="R24" s="418"/>
      <c r="S24" s="418"/>
      <c r="T24" s="418"/>
      <c r="U24" s="418"/>
      <c r="V24" s="418"/>
      <c r="W24" s="418"/>
      <c r="X24" s="418"/>
      <c r="Y24" s="418"/>
    </row>
    <row r="25">
      <c r="A25" s="418"/>
      <c r="B25" s="418"/>
      <c r="C25" s="418"/>
      <c r="D25" s="418"/>
      <c r="E25" s="418"/>
      <c r="F25" s="418"/>
      <c r="G25" s="418"/>
      <c r="H25" s="418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Y25" s="418"/>
    </row>
  </sheetData>
  <mergeCells count="17">
    <mergeCell ref="S3:S4"/>
    <mergeCell ref="T3:T4"/>
    <mergeCell ref="U3:U4"/>
    <mergeCell ref="V3:V4"/>
    <mergeCell ref="W3:W4"/>
    <mergeCell ref="X3:X4"/>
    <mergeCell ref="A2:L2"/>
    <mergeCell ref="A9:L9"/>
    <mergeCell ref="A17:L17"/>
    <mergeCell ref="N2:Y2"/>
    <mergeCell ref="N3:N4"/>
    <mergeCell ref="O3:O4"/>
    <mergeCell ref="P3:P4"/>
    <mergeCell ref="Q3:Q4"/>
    <mergeCell ref="R3:R4"/>
    <mergeCell ref="Y3:Y4"/>
    <mergeCell ref="N9:X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2025-01-01T18:59:36Z</dcterms:created>
  <dc:creator>SINDI AHMETCENAJ</dc:creator>
</cp:coreProperties>
</file>